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RICESIM-2D\"/>
    </mc:Choice>
  </mc:AlternateContent>
  <xr:revisionPtr revIDLastSave="0" documentId="13_ncr:1_{2E1C9644-803D-4A59-B9BB-999D1406CBA1}" xr6:coauthVersionLast="47" xr6:coauthVersionMax="47" xr10:uidLastSave="{00000000-0000-0000-0000-000000000000}"/>
  <bookViews>
    <workbookView xWindow="-30840" yWindow="-5655" windowWidth="30960" windowHeight="16800" xr2:uid="{32AD4793-012C-4E51-AE82-86452004F2E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" i="1" l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L23" i="1"/>
  <c r="M23" i="1" s="1"/>
  <c r="L24" i="1"/>
  <c r="M24" i="1" s="1"/>
  <c r="L25" i="1"/>
  <c r="M25" i="1" s="1"/>
  <c r="L26" i="1"/>
  <c r="M26" i="1" s="1"/>
  <c r="L27" i="1"/>
  <c r="M27" i="1" s="1"/>
  <c r="L28" i="1"/>
  <c r="M28" i="1" s="1"/>
  <c r="L29" i="1"/>
  <c r="M29" i="1" s="1"/>
  <c r="L30" i="1"/>
  <c r="M30" i="1" s="1"/>
  <c r="L31" i="1"/>
  <c r="M31" i="1" s="1"/>
  <c r="L32" i="1"/>
  <c r="M32" i="1" s="1"/>
  <c r="L5" i="1"/>
  <c r="M5" i="1" s="1"/>
  <c r="L6" i="1"/>
  <c r="M6" i="1" s="1"/>
  <c r="L7" i="1"/>
  <c r="M7" i="1" s="1"/>
  <c r="L8" i="1"/>
  <c r="M8" i="1" s="1"/>
  <c r="L9" i="1"/>
  <c r="M9" i="1" s="1"/>
  <c r="L10" i="1"/>
  <c r="M10" i="1" s="1"/>
  <c r="L11" i="1"/>
  <c r="M11" i="1" s="1"/>
  <c r="L12" i="1"/>
  <c r="M12" i="1" s="1"/>
  <c r="L13" i="1"/>
  <c r="M13" i="1" s="1"/>
  <c r="L14" i="1"/>
  <c r="M14" i="1" s="1"/>
  <c r="L15" i="1"/>
  <c r="M15" i="1" s="1"/>
  <c r="L16" i="1"/>
  <c r="M16" i="1" s="1"/>
  <c r="L17" i="1"/>
  <c r="M17" i="1" s="1"/>
  <c r="L18" i="1"/>
  <c r="M18" i="1" s="1"/>
  <c r="L19" i="1"/>
  <c r="M19" i="1" s="1"/>
  <c r="L20" i="1"/>
  <c r="M20" i="1" s="1"/>
  <c r="L21" i="1"/>
  <c r="M21" i="1" s="1"/>
  <c r="L22" i="1"/>
  <c r="M22" i="1" s="1"/>
  <c r="L4" i="1"/>
  <c r="M4" i="1" s="1"/>
</calcChain>
</file>

<file path=xl/sharedStrings.xml><?xml version="1.0" encoding="utf-8"?>
<sst xmlns="http://schemas.openxmlformats.org/spreadsheetml/2006/main" count="15" uniqueCount="15">
  <si>
    <t>Ia</t>
  </si>
  <si>
    <t>alpha</t>
  </si>
  <si>
    <t>Jmax</t>
  </si>
  <si>
    <t>Vcmax</t>
  </si>
  <si>
    <t>TPU</t>
  </si>
  <si>
    <t>Cc</t>
  </si>
  <si>
    <t>theta</t>
  </si>
  <si>
    <t>curvature</t>
  </si>
  <si>
    <t>Aj</t>
  </si>
  <si>
    <t>Ap</t>
  </si>
  <si>
    <t>Ac</t>
  </si>
  <si>
    <t>Av</t>
  </si>
  <si>
    <t>J</t>
  </si>
  <si>
    <t>km</t>
  </si>
  <si>
    <t>gamma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</si>
</sst>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50DDA-CBEE-4A50-9B9D-75459F449449}">
  <dimension ref="A3:O32"/>
  <sheetViews>
    <sheetView tabSelected="1" workbookViewId="0">
      <selection activeCell="Q12" sqref="Q12"/>
    </sheetView>
  </sheetViews>
  <sheetFormatPr defaultRowHeight="15" x14ac:dyDescent="0.25"/>
  <sheetData>
    <row r="3" spans="1:15" x14ac:dyDescent="0.25">
      <c r="A3" t="s">
        <v>13</v>
      </c>
      <c r="B3" t="s">
        <v>1</v>
      </c>
      <c r="C3" t="s">
        <v>5</v>
      </c>
      <c r="D3" t="s">
        <v>6</v>
      </c>
      <c r="E3" t="s">
        <v>7</v>
      </c>
      <c r="F3" t="s">
        <v>0</v>
      </c>
      <c r="G3" t="s">
        <v>2</v>
      </c>
      <c r="H3" t="s">
        <v>3</v>
      </c>
      <c r="I3" t="s">
        <v>4</v>
      </c>
      <c r="J3" t="s">
        <v>14</v>
      </c>
      <c r="K3" t="s">
        <v>11</v>
      </c>
      <c r="L3" t="s">
        <v>12</v>
      </c>
      <c r="M3" t="s">
        <v>8</v>
      </c>
      <c r="N3" t="s">
        <v>9</v>
      </c>
      <c r="O3" t="s">
        <v>10</v>
      </c>
    </row>
    <row r="4" spans="1:15" x14ac:dyDescent="0.25">
      <c r="A4">
        <v>434</v>
      </c>
      <c r="B4">
        <v>0.42499999999999999</v>
      </c>
      <c r="C4">
        <v>281</v>
      </c>
      <c r="D4">
        <v>0.9</v>
      </c>
      <c r="E4">
        <v>0.99990000000000001</v>
      </c>
      <c r="F4">
        <v>100</v>
      </c>
      <c r="G4">
        <v>130</v>
      </c>
      <c r="H4">
        <v>220</v>
      </c>
      <c r="I4">
        <v>9.99</v>
      </c>
      <c r="J4">
        <v>37</v>
      </c>
      <c r="K4">
        <f>$H$4*($C$4-$J$4)/($C$4+$A$4)</f>
        <v>75.07692307692308</v>
      </c>
      <c r="L4">
        <f>((($B$4*F4+$G$4)-(($B$4*F4+$G$4)^2-4*$B$4*F4*$G$4*$D$4)^0.5)/(2*$D$4))</f>
        <v>40.650556229522316</v>
      </c>
      <c r="M4">
        <f>L4*($C$4-J4)/(4*($C$4+2*$J$4))</f>
        <v>6.9850251549320044</v>
      </c>
    </row>
    <row r="5" spans="1:15" x14ac:dyDescent="0.25">
      <c r="F5">
        <v>150</v>
      </c>
      <c r="K5">
        <f t="shared" ref="K5:K32" si="0">$H$4*($C$4-48)/($C$4+$A$4)</f>
        <v>71.692307692307693</v>
      </c>
      <c r="L5">
        <f t="shared" ref="L5:L22" si="1">((($B$4*F5+$G$4)-(($B$4*F5+$G$4)^2-4*$B$4*F5*$G$4*$D$4)^0.5)/(2*$D$4))</f>
        <v>58.87622829801019</v>
      </c>
      <c r="M5">
        <f t="shared" ref="M5:M32" si="2">L5*($C$4-J5)/(4*($C$4+2*$J$4))</f>
        <v>11.650859261789341</v>
      </c>
    </row>
    <row r="6" spans="1:15" x14ac:dyDescent="0.25">
      <c r="F6">
        <v>200</v>
      </c>
      <c r="K6">
        <f t="shared" si="0"/>
        <v>71.692307692307693</v>
      </c>
      <c r="L6">
        <f t="shared" si="1"/>
        <v>74.844023696830448</v>
      </c>
      <c r="M6">
        <f t="shared" si="2"/>
        <v>14.810683562541799</v>
      </c>
    </row>
    <row r="7" spans="1:15" x14ac:dyDescent="0.25">
      <c r="F7">
        <v>250</v>
      </c>
      <c r="K7">
        <f t="shared" si="0"/>
        <v>71.692307692307693</v>
      </c>
      <c r="L7">
        <f t="shared" si="1"/>
        <v>87.898641569406635</v>
      </c>
      <c r="M7">
        <f t="shared" si="2"/>
        <v>17.394026958453004</v>
      </c>
    </row>
    <row r="8" spans="1:15" x14ac:dyDescent="0.25">
      <c r="F8">
        <v>300</v>
      </c>
      <c r="K8">
        <f t="shared" si="0"/>
        <v>71.692307692307693</v>
      </c>
      <c r="L8">
        <f t="shared" si="1"/>
        <v>97.798232295756193</v>
      </c>
      <c r="M8">
        <f t="shared" si="2"/>
        <v>19.353030475427811</v>
      </c>
    </row>
    <row r="9" spans="1:15" x14ac:dyDescent="0.25">
      <c r="F9">
        <v>350</v>
      </c>
      <c r="K9">
        <f t="shared" si="0"/>
        <v>71.692307692307693</v>
      </c>
      <c r="L9">
        <f t="shared" si="1"/>
        <v>104.9026020915578</v>
      </c>
      <c r="M9">
        <f t="shared" si="2"/>
        <v>20.758895202625169</v>
      </c>
    </row>
    <row r="10" spans="1:15" x14ac:dyDescent="0.25">
      <c r="F10">
        <v>400</v>
      </c>
      <c r="K10">
        <f t="shared" si="0"/>
        <v>71.692307692307693</v>
      </c>
      <c r="L10">
        <f t="shared" si="1"/>
        <v>109.902045446912</v>
      </c>
      <c r="M10">
        <f t="shared" si="2"/>
        <v>21.748221669424133</v>
      </c>
    </row>
    <row r="11" spans="1:15" x14ac:dyDescent="0.25">
      <c r="F11">
        <v>450</v>
      </c>
      <c r="K11">
        <f t="shared" si="0"/>
        <v>71.692307692307693</v>
      </c>
      <c r="L11">
        <f t="shared" si="1"/>
        <v>113.45427004793214</v>
      </c>
      <c r="M11">
        <f t="shared" si="2"/>
        <v>22.451161889766851</v>
      </c>
    </row>
    <row r="12" spans="1:15" x14ac:dyDescent="0.25">
      <c r="F12">
        <v>500</v>
      </c>
      <c r="K12">
        <f t="shared" si="0"/>
        <v>71.692307692307693</v>
      </c>
      <c r="L12">
        <f t="shared" si="1"/>
        <v>116.04039991726241</v>
      </c>
      <c r="M12">
        <f t="shared" si="2"/>
        <v>22.962924208979391</v>
      </c>
    </row>
    <row r="13" spans="1:15" x14ac:dyDescent="0.25">
      <c r="F13">
        <v>550</v>
      </c>
      <c r="K13">
        <f t="shared" si="0"/>
        <v>71.692307692307693</v>
      </c>
      <c r="L13">
        <f t="shared" si="1"/>
        <v>117.97753851381913</v>
      </c>
      <c r="M13">
        <f t="shared" si="2"/>
        <v>23.346259381959982</v>
      </c>
    </row>
    <row r="14" spans="1:15" x14ac:dyDescent="0.25">
      <c r="F14">
        <v>600</v>
      </c>
      <c r="K14">
        <f t="shared" si="0"/>
        <v>71.692307692307693</v>
      </c>
      <c r="L14">
        <f t="shared" si="1"/>
        <v>119.46895742952951</v>
      </c>
      <c r="M14">
        <f t="shared" si="2"/>
        <v>23.641392280068867</v>
      </c>
    </row>
    <row r="15" spans="1:15" x14ac:dyDescent="0.25">
      <c r="F15">
        <v>650</v>
      </c>
      <c r="K15">
        <f t="shared" si="0"/>
        <v>71.692307692307693</v>
      </c>
      <c r="L15">
        <f t="shared" si="1"/>
        <v>120.64586294374715</v>
      </c>
      <c r="M15">
        <f t="shared" si="2"/>
        <v>23.874286962811937</v>
      </c>
    </row>
    <row r="16" spans="1:15" x14ac:dyDescent="0.25">
      <c r="F16">
        <v>700</v>
      </c>
      <c r="K16">
        <f t="shared" si="0"/>
        <v>71.692307692307693</v>
      </c>
      <c r="L16">
        <f t="shared" si="1"/>
        <v>121.59474654797663</v>
      </c>
      <c r="M16">
        <f t="shared" si="2"/>
        <v>24.062058999986924</v>
      </c>
    </row>
    <row r="17" spans="6:13" x14ac:dyDescent="0.25">
      <c r="F17">
        <v>750</v>
      </c>
      <c r="K17">
        <f t="shared" si="0"/>
        <v>71.692307692307693</v>
      </c>
      <c r="L17">
        <f t="shared" si="1"/>
        <v>122.37410411739729</v>
      </c>
      <c r="M17">
        <f t="shared" si="2"/>
        <v>24.216283983794817</v>
      </c>
    </row>
    <row r="18" spans="6:13" x14ac:dyDescent="0.25">
      <c r="F18">
        <v>800</v>
      </c>
      <c r="K18">
        <f t="shared" si="0"/>
        <v>71.692307692307693</v>
      </c>
      <c r="L18">
        <f t="shared" si="1"/>
        <v>123.02453958959096</v>
      </c>
      <c r="M18">
        <f t="shared" si="2"/>
        <v>24.344996918785252</v>
      </c>
    </row>
    <row r="19" spans="6:13" x14ac:dyDescent="0.25">
      <c r="F19">
        <v>850</v>
      </c>
      <c r="K19">
        <f t="shared" si="0"/>
        <v>71.692307692307693</v>
      </c>
      <c r="L19">
        <f t="shared" si="1"/>
        <v>123.57493978201836</v>
      </c>
      <c r="M19">
        <f t="shared" si="2"/>
        <v>24.453914139962791</v>
      </c>
    </row>
    <row r="20" spans="6:13" x14ac:dyDescent="0.25">
      <c r="F20">
        <v>900</v>
      </c>
      <c r="K20">
        <f t="shared" si="0"/>
        <v>71.692307692307693</v>
      </c>
      <c r="L20">
        <f t="shared" si="1"/>
        <v>124.04632537655188</v>
      </c>
      <c r="M20">
        <f t="shared" si="2"/>
        <v>24.54719537381062</v>
      </c>
    </row>
    <row r="21" spans="6:13" x14ac:dyDescent="0.25">
      <c r="F21">
        <v>950</v>
      </c>
      <c r="K21">
        <f t="shared" si="0"/>
        <v>71.692307692307693</v>
      </c>
      <c r="L21">
        <f t="shared" si="1"/>
        <v>124.4543093133375</v>
      </c>
      <c r="M21">
        <f t="shared" si="2"/>
        <v>24.627930223273125</v>
      </c>
    </row>
    <row r="22" spans="6:13" x14ac:dyDescent="0.25">
      <c r="F22">
        <v>1000</v>
      </c>
      <c r="K22">
        <f t="shared" si="0"/>
        <v>71.692307692307693</v>
      </c>
      <c r="L22">
        <f t="shared" si="1"/>
        <v>124.810703787123</v>
      </c>
      <c r="M22">
        <f t="shared" si="2"/>
        <v>24.698456171958846</v>
      </c>
    </row>
    <row r="23" spans="6:13" x14ac:dyDescent="0.25">
      <c r="F23">
        <v>1050</v>
      </c>
      <c r="K23">
        <f t="shared" si="0"/>
        <v>71.692307692307693</v>
      </c>
      <c r="L23">
        <f t="shared" ref="L23:L32" si="3">((($B$4*F23+$G$4)-(($B$4*F23+$G$4)^2-4*$B$4*F23*$G$4*$D$4)^0.5)/(2*$D$4))</f>
        <v>125.12459493667879</v>
      </c>
      <c r="M23">
        <f t="shared" si="2"/>
        <v>24.76057125155404</v>
      </c>
    </row>
    <row r="24" spans="6:13" x14ac:dyDescent="0.25">
      <c r="F24">
        <v>1100</v>
      </c>
      <c r="K24">
        <f t="shared" si="0"/>
        <v>71.692307692307693</v>
      </c>
      <c r="L24">
        <f t="shared" si="3"/>
        <v>125.40307711152226</v>
      </c>
      <c r="M24">
        <f t="shared" si="2"/>
        <v>24.815679343899827</v>
      </c>
    </row>
    <row r="25" spans="6:13" x14ac:dyDescent="0.25">
      <c r="F25">
        <v>1150</v>
      </c>
      <c r="K25">
        <f t="shared" si="0"/>
        <v>71.692307692307693</v>
      </c>
      <c r="L25">
        <f t="shared" si="3"/>
        <v>125.65176461562606</v>
      </c>
      <c r="M25">
        <f t="shared" si="2"/>
        <v>24.864891448585158</v>
      </c>
    </row>
    <row r="26" spans="6:13" x14ac:dyDescent="0.25">
      <c r="F26">
        <v>1200</v>
      </c>
      <c r="K26">
        <f t="shared" si="0"/>
        <v>71.692307692307693</v>
      </c>
      <c r="L26">
        <f t="shared" si="3"/>
        <v>125.87515495560646</v>
      </c>
      <c r="M26">
        <f t="shared" si="2"/>
        <v>24.909097565158746</v>
      </c>
    </row>
    <row r="27" spans="6:13" x14ac:dyDescent="0.25">
      <c r="F27">
        <v>1250</v>
      </c>
      <c r="K27">
        <f t="shared" si="0"/>
        <v>71.692307692307693</v>
      </c>
      <c r="L27">
        <f t="shared" si="3"/>
        <v>126.07689105998756</v>
      </c>
      <c r="M27">
        <f t="shared" si="2"/>
        <v>24.949018582997539</v>
      </c>
    </row>
    <row r="28" spans="6:13" x14ac:dyDescent="0.25">
      <c r="F28">
        <v>1300</v>
      </c>
      <c r="K28">
        <f t="shared" si="0"/>
        <v>71.692307692307693</v>
      </c>
      <c r="L28">
        <f t="shared" si="3"/>
        <v>126.25995351821037</v>
      </c>
      <c r="M28">
        <f t="shared" si="2"/>
        <v>24.985244322969795</v>
      </c>
    </row>
    <row r="29" spans="6:13" x14ac:dyDescent="0.25">
      <c r="F29">
        <v>1350</v>
      </c>
      <c r="K29">
        <f t="shared" si="0"/>
        <v>71.692307692307693</v>
      </c>
      <c r="L29">
        <f t="shared" si="3"/>
        <v>126.42680353313828</v>
      </c>
      <c r="M29">
        <f t="shared" si="2"/>
        <v>25.01826182592384</v>
      </c>
    </row>
    <row r="30" spans="6:13" x14ac:dyDescent="0.25">
      <c r="F30">
        <v>1400</v>
      </c>
      <c r="K30">
        <f t="shared" si="0"/>
        <v>71.692307692307693</v>
      </c>
      <c r="L30">
        <f t="shared" si="3"/>
        <v>126.57949062313141</v>
      </c>
      <c r="M30">
        <f t="shared" si="2"/>
        <v>25.048476665563328</v>
      </c>
    </row>
    <row r="31" spans="6:13" x14ac:dyDescent="0.25">
      <c r="F31">
        <v>1450</v>
      </c>
      <c r="K31">
        <f t="shared" si="0"/>
        <v>71.692307692307693</v>
      </c>
      <c r="L31">
        <f t="shared" si="3"/>
        <v>126.71973475079476</v>
      </c>
      <c r="M31">
        <f t="shared" si="2"/>
        <v>25.076229200685439</v>
      </c>
    </row>
    <row r="32" spans="6:13" x14ac:dyDescent="0.25">
      <c r="F32">
        <v>1500</v>
      </c>
      <c r="K32">
        <f t="shared" si="0"/>
        <v>71.692307692307693</v>
      </c>
      <c r="L32">
        <f t="shared" si="3"/>
        <v>126.84898965246342</v>
      </c>
      <c r="M32">
        <f t="shared" si="2"/>
        <v>25.101807107283253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Fleisher, David - REE-ARS</dc:creator>
  <cp:lastModifiedBy>Fleisher, David - REE-ARS</cp:lastModifiedBy>
  <dcterms:created xsi:type="dcterms:W3CDTF">2024-06-20T12:22:50Z</dcterms:created>
  <dcterms:modified xsi:type="dcterms:W3CDTF">2024-06-20T19:47:06Z</dcterms:modified>
</cp:coreProperties>
</file>