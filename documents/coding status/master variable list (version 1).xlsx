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E:\RICESIM-2D\"/>
    </mc:Choice>
  </mc:AlternateContent>
  <xr:revisionPtr revIDLastSave="0" documentId="13_ncr:1_{8B7D8ED8-9CDA-4A0E-9AFC-C7B33B1D715C}" xr6:coauthVersionLast="47" xr6:coauthVersionMax="47" xr10:uidLastSave="{00000000-0000-0000-0000-000000000000}"/>
  <bookViews>
    <workbookView xWindow="-120" yWindow="-120" windowWidth="29040" windowHeight="15720" activeTab="5" xr2:uid="{84E72A6A-9773-47BA-810D-D4CD3D4138C8}"/>
  </bookViews>
  <sheets>
    <sheet name="ORYZA analogues" sheetId="1" r:id="rId1"/>
    <sheet name="2DRICESIM" sheetId="2" r:id="rId2"/>
    <sheet name="2dsoil converstions" sheetId="11" r:id="rId3"/>
    <sheet name="Routine description" sheetId="3" r:id="rId4"/>
    <sheet name="testing notes" sheetId="13" r:id="rId5"/>
    <sheet name="issues" sheetId="4" r:id="rId6"/>
    <sheet name="notes about oryza doc" sheetId="10" r:id="rId7"/>
    <sheet name="output file info" sheetId="7" r:id="rId8"/>
    <sheet name="gasexchange.dll" sheetId="12" r:id="rId9"/>
    <sheet name="ToAdd" sheetId="8" r:id="rId10"/>
    <sheet name="paper ideas" sheetId="9" r:id="rId11"/>
    <sheet name="issues checking - LAI-biomass" sheetId="5"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2" i="13" l="1"/>
  <c r="B46" i="13"/>
  <c r="B45" i="13"/>
  <c r="V6" i="5" l="1"/>
  <c r="E12" i="11" l="1"/>
  <c r="H26" i="4"/>
  <c r="E26" i="4"/>
  <c r="H35" i="5" l="1"/>
  <c r="H34" i="5"/>
  <c r="I32" i="5"/>
  <c r="H33" i="5"/>
  <c r="H32" i="5"/>
  <c r="D69" i="5"/>
</calcChain>
</file>

<file path=xl/sharedStrings.xml><?xml version="1.0" encoding="utf-8"?>
<sst xmlns="http://schemas.openxmlformats.org/spreadsheetml/2006/main" count="1578" uniqueCount="1165">
  <si>
    <t>ORYZA Variables and RICESIM analogues</t>
  </si>
  <si>
    <t>ORYZA_name</t>
  </si>
  <si>
    <t>description</t>
  </si>
  <si>
    <t>units</t>
  </si>
  <si>
    <t>RICESIM_name</t>
  </si>
  <si>
    <t>notes</t>
  </si>
  <si>
    <t>FRT</t>
  </si>
  <si>
    <t>FSH</t>
  </si>
  <si>
    <t>fraction of total dm allocated to roots</t>
  </si>
  <si>
    <t>fraction of total dm allocated to shoots</t>
  </si>
  <si>
    <t>-</t>
  </si>
  <si>
    <t>FSHTB</t>
  </si>
  <si>
    <t>table of FSH as function of DVS</t>
  </si>
  <si>
    <t>FLV</t>
  </si>
  <si>
    <t>FST</t>
  </si>
  <si>
    <t>FSO</t>
  </si>
  <si>
    <t>fration of shoot dm allocated to leaves</t>
  </si>
  <si>
    <t>fractoin of shoot dm allocated to stems</t>
  </si>
  <si>
    <t>fraction of shoot dm allocated to storage organs</t>
  </si>
  <si>
    <t>FLVTB</t>
  </si>
  <si>
    <t>FSTTB</t>
  </si>
  <si>
    <t>FSOTB</t>
  </si>
  <si>
    <t>table of FLB as function of DVS</t>
  </si>
  <si>
    <t>table of FST as function of DVS</t>
  </si>
  <si>
    <t>table of FSO as functoin of DVS</t>
  </si>
  <si>
    <t>DVS</t>
  </si>
  <si>
    <t>developmental stage progression</t>
  </si>
  <si>
    <t>CROPSTA</t>
  </si>
  <si>
    <t>developmental stage number</t>
  </si>
  <si>
    <t>CPEW</t>
  </si>
  <si>
    <t>water dress index? related to LESTRS</t>
  </si>
  <si>
    <t>LRSTRS</t>
  </si>
  <si>
    <t>LDSTRS</t>
  </si>
  <si>
    <t>LESTRS</t>
  </si>
  <si>
    <t>stress factor - root?</t>
  </si>
  <si>
    <t>stress factor - ?</t>
  </si>
  <si>
    <t>LSTR</t>
  </si>
  <si>
    <t>LLV</t>
  </si>
  <si>
    <t>PLTR</t>
  </si>
  <si>
    <t>planting density reduction at transplanting between direct seed to seedbed to transplant</t>
  </si>
  <si>
    <t>RWLVG1</t>
  </si>
  <si>
    <t>GST1</t>
  </si>
  <si>
    <t>WLVG</t>
  </si>
  <si>
    <t>greenleaf dm</t>
  </si>
  <si>
    <t>WSTS</t>
  </si>
  <si>
    <t>WSTR</t>
  </si>
  <si>
    <t>WRT</t>
  </si>
  <si>
    <t>reduction in leaf dm during transplatning from seedbed to field</t>
  </si>
  <si>
    <t>RWLVG</t>
  </si>
  <si>
    <t>net growth rate for green leaves</t>
  </si>
  <si>
    <t>kg ha-1 soil d-1</t>
  </si>
  <si>
    <t>kg ha-1 soil</t>
  </si>
  <si>
    <t>RWSTR</t>
  </si>
  <si>
    <t>RWSTR1</t>
  </si>
  <si>
    <t>net growth rate for stem reserves</t>
  </si>
  <si>
    <t>reductoin in stem reserves during transplanting from seebed to field</t>
  </si>
  <si>
    <t>GRT</t>
  </si>
  <si>
    <t>growth rate of roots</t>
  </si>
  <si>
    <t>GRT1</t>
  </si>
  <si>
    <t>reductoin in root dm during transplanting from seedbed to field</t>
  </si>
  <si>
    <t>GSO</t>
  </si>
  <si>
    <t>growth rate of storage organs</t>
  </si>
  <si>
    <t>GST</t>
  </si>
  <si>
    <t>growth rate of stems</t>
  </si>
  <si>
    <t>reduction in stem dm during transplanting from seedbed to field</t>
  </si>
  <si>
    <t>GSTR</t>
  </si>
  <si>
    <t>growth rate of stem reserves</t>
  </si>
  <si>
    <t>FSTR</t>
  </si>
  <si>
    <t>fraction of CHO allocated to stems that is stored in reserves</t>
  </si>
  <si>
    <t>variety file</t>
  </si>
  <si>
    <t>f_totdm_root</t>
  </si>
  <si>
    <t>f_shtdm_store</t>
  </si>
  <si>
    <t>f_shtdm_stem</t>
  </si>
  <si>
    <t>f_shtdm_leaf</t>
  </si>
  <si>
    <t>f_shtdm_leafDVS</t>
  </si>
  <si>
    <t>f_totdm_shootDVS</t>
  </si>
  <si>
    <t>f_shtdm_storeDVS</t>
  </si>
  <si>
    <t>f_shtdm_stemDVS</t>
  </si>
  <si>
    <t>root dm</t>
  </si>
  <si>
    <t>stem reserves dm</t>
  </si>
  <si>
    <t>WSO</t>
  </si>
  <si>
    <t>storage organ dm</t>
  </si>
  <si>
    <t>grnleaf_dw</t>
  </si>
  <si>
    <t>root_dw</t>
  </si>
  <si>
    <t>stemreserve_dw</t>
  </si>
  <si>
    <t>stem_dw</t>
  </si>
  <si>
    <t>storage_dw</t>
  </si>
  <si>
    <t>kg ha-1</t>
  </si>
  <si>
    <t>pot_stemreservegro</t>
  </si>
  <si>
    <t>pot_rootgro</t>
  </si>
  <si>
    <t>pot_rootgro_transplant</t>
  </si>
  <si>
    <t>pot_storagegro</t>
  </si>
  <si>
    <t>pot_stemgro</t>
  </si>
  <si>
    <t>pot_stemgro_transplant</t>
  </si>
  <si>
    <t>Variables specific to RICESIM, maybe some overlap</t>
  </si>
  <si>
    <t>CDayofYear</t>
  </si>
  <si>
    <t>CITIME</t>
  </si>
  <si>
    <t>CIPERD</t>
  </si>
  <si>
    <t>CWATTSM</t>
  </si>
  <si>
    <t>CPAR</t>
  </si>
  <si>
    <t>CTAIR</t>
  </si>
  <si>
    <t>CCO2</t>
  </si>
  <si>
    <t>CVPD</t>
  </si>
  <si>
    <t>CWIND</t>
  </si>
  <si>
    <t>CPSIL_</t>
  </si>
  <si>
    <t>CLAREAT</t>
  </si>
  <si>
    <t>CLAI</t>
  </si>
  <si>
    <t>Common Block "Weather" - used to pass location and hourly climate info including leaf water pot back/forth to gas_exchange dll</t>
  </si>
  <si>
    <t>CLATITUDE</t>
  </si>
  <si>
    <t>CLONGITUDE</t>
  </si>
  <si>
    <t>CALTITUDE</t>
  </si>
  <si>
    <t>Common Block "Plant" - used to obtain gas exchange data from the gas_exchange dll to ricesim</t>
  </si>
  <si>
    <t>NRATIO</t>
  </si>
  <si>
    <t>transpiration</t>
  </si>
  <si>
    <t>temperature</t>
  </si>
  <si>
    <t>SunlitLAI</t>
  </si>
  <si>
    <t>ShadedLAI</t>
  </si>
  <si>
    <t>transpiration_sunlitleaf</t>
  </si>
  <si>
    <t>transpiration_shadedleaf</t>
  </si>
  <si>
    <t>temp1</t>
  </si>
  <si>
    <t>Ags</t>
  </si>
  <si>
    <t>ARH</t>
  </si>
  <si>
    <t>StomConduc</t>
  </si>
  <si>
    <t>maps to photosynthesis_gross</t>
  </si>
  <si>
    <t>maps to photosynthesis_net</t>
  </si>
  <si>
    <t>maps to sunlit LAI</t>
  </si>
  <si>
    <t>maps to shaded LAI</t>
  </si>
  <si>
    <t>maps to temp1</t>
  </si>
  <si>
    <t>?</t>
  </si>
  <si>
    <t>maps to Ags</t>
  </si>
  <si>
    <t>maps to conductance</t>
  </si>
  <si>
    <t>maps to EET</t>
  </si>
  <si>
    <t>LAI of sunlit leaves</t>
  </si>
  <si>
    <t>LAI of shaded leaves</t>
  </si>
  <si>
    <t>average stomatal conductance of leaves</t>
  </si>
  <si>
    <t>umol co2 m-2 ground s-1</t>
  </si>
  <si>
    <t>Note1</t>
  </si>
  <si>
    <t>Mapping</t>
  </si>
  <si>
    <t>Pgleaf_sun</t>
  </si>
  <si>
    <t>Pgleaf_shade</t>
  </si>
  <si>
    <t>gross pg per shaded leaf</t>
  </si>
  <si>
    <t>gross pg per sunlit leaf</t>
  </si>
  <si>
    <t>umol co2 m-2 leaf s-1</t>
  </si>
  <si>
    <t>canopy transpiration rate</t>
  </si>
  <si>
    <t>Transpiration</t>
  </si>
  <si>
    <t>Transpiration_sunleaf</t>
  </si>
  <si>
    <t>Transpiration_shadeleaf</t>
  </si>
  <si>
    <t>mmol h2o m-2 ground s-1</t>
  </si>
  <si>
    <t>mmol h2o m-2 leaf s-1</t>
  </si>
  <si>
    <t>trans for shaded leaf</t>
  </si>
  <si>
    <t>trans for sunlit leaf</t>
  </si>
  <si>
    <t>canopy weighted gs</t>
  </si>
  <si>
    <t>mmol h2o m-2 s-1</t>
  </si>
  <si>
    <t>sunPg</t>
  </si>
  <si>
    <t>shadePg</t>
  </si>
  <si>
    <t>single leaf</t>
  </si>
  <si>
    <t>Pgtotal</t>
  </si>
  <si>
    <t>Pgsun</t>
  </si>
  <si>
    <t>Pgshade</t>
  </si>
  <si>
    <t>gross photosynthesis canopy</t>
  </si>
  <si>
    <t>gross pg sunlit leaves canopy</t>
  </si>
  <si>
    <t>gross pg shaded leaves canopy</t>
  </si>
  <si>
    <t>all sunlit leaves</t>
  </si>
  <si>
    <t>all shaded leaves</t>
  </si>
  <si>
    <t>photosynthesis_grosssunlitleaf</t>
  </si>
  <si>
    <t>photosynthesis_grossshadedleaf</t>
  </si>
  <si>
    <t>all leaves</t>
  </si>
  <si>
    <t>Pntotal</t>
  </si>
  <si>
    <t>net photosynthesis canopy</t>
  </si>
  <si>
    <t>m2 m-2</t>
  </si>
  <si>
    <t>pfd for sunlit leaves</t>
  </si>
  <si>
    <t>pfd for shaded leaves</t>
  </si>
  <si>
    <t>umol m-2 s-1</t>
  </si>
  <si>
    <t>sunlitPFD</t>
  </si>
  <si>
    <t>shadedPFD</t>
  </si>
  <si>
    <t>T_leaf</t>
  </si>
  <si>
    <t>canopy weighted leaf T</t>
  </si>
  <si>
    <t>C</t>
  </si>
  <si>
    <t>EET</t>
  </si>
  <si>
    <t>average RH</t>
  </si>
  <si>
    <t>maps to wthr.RH</t>
  </si>
  <si>
    <t>why is this needed?</t>
  </si>
  <si>
    <t>GCR</t>
  </si>
  <si>
    <t>CHO available for growth</t>
  </si>
  <si>
    <t>g plant -1</t>
  </si>
  <si>
    <t>GCR for now</t>
  </si>
  <si>
    <t>Trans</t>
  </si>
  <si>
    <t>LAI</t>
  </si>
  <si>
    <t>leaf area index</t>
  </si>
  <si>
    <t>leaf_area</t>
  </si>
  <si>
    <t>totleaf_dw</t>
  </si>
  <si>
    <t>deadleaf_dw</t>
  </si>
  <si>
    <t>panicle_dw</t>
  </si>
  <si>
    <t>grain_dw</t>
  </si>
  <si>
    <t>green leaf area</t>
  </si>
  <si>
    <t>dry mass total grn and dead lf</t>
  </si>
  <si>
    <t>dry mass grn leaf only</t>
  </si>
  <si>
    <t>dry mass dead leaf only</t>
  </si>
  <si>
    <t xml:space="preserve">dry mass total stem </t>
  </si>
  <si>
    <t>dry mass total panicle</t>
  </si>
  <si>
    <t>dry mass total grain</t>
  </si>
  <si>
    <t>dry mass total root</t>
  </si>
  <si>
    <t>current assimilate supply for growth</t>
  </si>
  <si>
    <t>cm2</t>
  </si>
  <si>
    <t>g CHO plant-1</t>
  </si>
  <si>
    <t>Common block 'growth' used for RICESIM growth variable states including gas exchange processes</t>
  </si>
  <si>
    <t>grw_SLA_nominal</t>
  </si>
  <si>
    <t>nominal specific leaf area</t>
  </si>
  <si>
    <t>cm2 g-1</t>
  </si>
  <si>
    <t>needs to be read from variety file, not implemented yet</t>
  </si>
  <si>
    <t>Common block 'variety' used for RICESIM variety information read from *.var file</t>
  </si>
  <si>
    <t>Common block 'growth' used for RICESIM variety information read from *.var file</t>
  </si>
  <si>
    <t>act_RGRL</t>
  </si>
  <si>
    <t>actual relative growth rate of leaves</t>
  </si>
  <si>
    <t>GLAI</t>
  </si>
  <si>
    <t>LAI growth rate</t>
  </si>
  <si>
    <t>HULV</t>
  </si>
  <si>
    <t>reductoin factor for leaf elongation</t>
  </si>
  <si>
    <t>TSLV</t>
  </si>
  <si>
    <t>temperature sum for leaf development</t>
  </si>
  <si>
    <t>SLA</t>
  </si>
  <si>
    <t>current specific leaf area</t>
  </si>
  <si>
    <t>SHCKL</t>
  </si>
  <si>
    <t>delay parameter in development</t>
  </si>
  <si>
    <t>sed_SHCKL</t>
  </si>
  <si>
    <t>NH</t>
  </si>
  <si>
    <t>number of hills</t>
  </si>
  <si>
    <t>NPLH</t>
  </si>
  <si>
    <t>number of plants per hill</t>
  </si>
  <si>
    <t>NPLSB</t>
  </si>
  <si>
    <t>number of plants in seedbed</t>
  </si>
  <si>
    <t>hills m-2</t>
  </si>
  <si>
    <t>plants / hill</t>
  </si>
  <si>
    <t>plants m-2</t>
  </si>
  <si>
    <t>NHH</t>
  </si>
  <si>
    <t>DLDR</t>
  </si>
  <si>
    <t>kg d-1 ha-1</t>
  </si>
  <si>
    <t>RGRL</t>
  </si>
  <si>
    <t>relative growth rate of leaves</t>
  </si>
  <si>
    <t>1 / (C-d)</t>
  </si>
  <si>
    <t xml:space="preserve">HULV </t>
  </si>
  <si>
    <t>Tseed</t>
  </si>
  <si>
    <t>temperature sum of seedbed?</t>
  </si>
  <si>
    <t>act_LAIgro</t>
  </si>
  <si>
    <t>g plant-1 h-1</t>
  </si>
  <si>
    <t>1/(C-h)</t>
  </si>
  <si>
    <t>1 / (C-h)</t>
  </si>
  <si>
    <t>RGRLMX</t>
  </si>
  <si>
    <t>RGRLMN</t>
  </si>
  <si>
    <t>relative growth rate of leaves max</t>
  </si>
  <si>
    <t>relative growth rate of leaves min</t>
  </si>
  <si>
    <t>grw_RGRLMX</t>
  </si>
  <si>
    <t>grw_RGRLMN</t>
  </si>
  <si>
    <t>MAINLV</t>
  </si>
  <si>
    <t>MAINST</t>
  </si>
  <si>
    <t>MAINSO</t>
  </si>
  <si>
    <t>MAINRT</t>
  </si>
  <si>
    <t>RM for leaves</t>
  </si>
  <si>
    <t>Rm for stem</t>
  </si>
  <si>
    <t xml:space="preserve">Rm for storage </t>
  </si>
  <si>
    <t>Rm for root</t>
  </si>
  <si>
    <t>kg CH2O kg-1 DM d-1</t>
  </si>
  <si>
    <t>g plant-1</t>
  </si>
  <si>
    <t>CRGRT</t>
  </si>
  <si>
    <t>CRGLV</t>
  </si>
  <si>
    <t>CRGST</t>
  </si>
  <si>
    <t>CRGSO</t>
  </si>
  <si>
    <t>CRGSTR</t>
  </si>
  <si>
    <t>CH2O requirement for root dm production</t>
  </si>
  <si>
    <t xml:space="preserve">CH2O requirement for leave dm productoin </t>
  </si>
  <si>
    <t xml:space="preserve">CH2O requirement for stem dm productoin </t>
  </si>
  <si>
    <t xml:space="preserve">CH2O requirement for storage dm productoin </t>
  </si>
  <si>
    <t xml:space="preserve">CH2O requirement for stem reserve dm productoin </t>
  </si>
  <si>
    <t>kg Ch2O kg-1 DM</t>
  </si>
  <si>
    <t>kg kg-1 h-1</t>
  </si>
  <si>
    <t>gas_MAINLV</t>
  </si>
  <si>
    <t>gas_MAINST</t>
  </si>
  <si>
    <t>gas_MAINSO</t>
  </si>
  <si>
    <t>gas_MAINRT</t>
  </si>
  <si>
    <t>grw_CRGRT</t>
  </si>
  <si>
    <t>grw_CRGLV</t>
  </si>
  <si>
    <t>grw_CRGST</t>
  </si>
  <si>
    <t>grw_CRGSO</t>
  </si>
  <si>
    <t>grw_CRGSTR</t>
  </si>
  <si>
    <t>kg ch2o kg-1 ch2o</t>
  </si>
  <si>
    <t>daily heat units for leaf area development</t>
  </si>
  <si>
    <t>C-d/d-1</t>
  </si>
  <si>
    <t>C-h/h-1</t>
  </si>
  <si>
    <t>hourly</t>
  </si>
  <si>
    <t>DRLVT</t>
  </si>
  <si>
    <t>loss rate of stem reserves, type of senescence</t>
  </si>
  <si>
    <t>death/loss rate of leaves</t>
  </si>
  <si>
    <t>TCLSTR</t>
  </si>
  <si>
    <t>SSGA</t>
  </si>
  <si>
    <t>specifc green stem area, can be added to LAI</t>
  </si>
  <si>
    <t>SAI</t>
  </si>
  <si>
    <t>green stem area index</t>
  </si>
  <si>
    <t>RDR</t>
  </si>
  <si>
    <t>relative death rate of leaves</t>
  </si>
  <si>
    <t>kg leaf ha- d-1</t>
  </si>
  <si>
    <t>g leaf plant-1 h-1</t>
  </si>
  <si>
    <t>sen_LLV</t>
  </si>
  <si>
    <t>NSLLV</t>
  </si>
  <si>
    <t>sen_LSTR</t>
  </si>
  <si>
    <t>g stem reserves plant-1 h-1</t>
  </si>
  <si>
    <t>stress factor for leaf death caused by N stress</t>
  </si>
  <si>
    <t>0 to 1</t>
  </si>
  <si>
    <t>g plant-1 h1</t>
  </si>
  <si>
    <t>sen_DLDR</t>
  </si>
  <si>
    <t>relative death rate of leaf weight, table as function of DVS</t>
  </si>
  <si>
    <t>d-1</t>
  </si>
  <si>
    <t>sen_DRLVT</t>
  </si>
  <si>
    <t>h-1</t>
  </si>
  <si>
    <t>grw_TCLSTR</t>
  </si>
  <si>
    <t>time coefficient for loss of stem reserves</t>
  </si>
  <si>
    <t>LAICR</t>
  </si>
  <si>
    <t>critical LAI value before shading increases senescence</t>
  </si>
  <si>
    <t>LAI_SHADE</t>
  </si>
  <si>
    <t>LLVSH</t>
  </si>
  <si>
    <t>leaf loss due to shading effect</t>
  </si>
  <si>
    <t>sen_LLVSH</t>
  </si>
  <si>
    <t>leaf death as caused by drought stress</t>
  </si>
  <si>
    <t>NSLLVT</t>
  </si>
  <si>
    <t>ha leaf kg-1 leaf</t>
  </si>
  <si>
    <t>cm2 leaf g-1 leaf</t>
  </si>
  <si>
    <t>TSEN</t>
  </si>
  <si>
    <t>NCOLD</t>
  </si>
  <si>
    <t>number of consecutive days of cold acccumulation below variety variable</t>
  </si>
  <si>
    <t>#</t>
  </si>
  <si>
    <t>DVSI</t>
  </si>
  <si>
    <t>initial developmental stage of the crop</t>
  </si>
  <si>
    <t>WRR</t>
  </si>
  <si>
    <t>dry weight of rough rice (final yield)</t>
  </si>
  <si>
    <t>roughrice_dw</t>
  </si>
  <si>
    <t>WGRMX</t>
  </si>
  <si>
    <t>max individual grain weight</t>
  </si>
  <si>
    <t>kg grain-1</t>
  </si>
  <si>
    <t>grw_WRGMX</t>
  </si>
  <si>
    <t>g grain-1</t>
  </si>
  <si>
    <t>NGR</t>
  </si>
  <si>
    <t># ha-1</t>
  </si>
  <si>
    <t>grain_num</t>
  </si>
  <si>
    <t># plant-1</t>
  </si>
  <si>
    <t>Common block 'time_public' from 2DSOIL</t>
  </si>
  <si>
    <t>isGerminated</t>
  </si>
  <si>
    <t>isEmerged</t>
  </si>
  <si>
    <t>integer values for 0 - no, 1 -yes</t>
  </si>
  <si>
    <t>common block 'shootR" from 2DSOIL</t>
  </si>
  <si>
    <t>sowingDay</t>
  </si>
  <si>
    <t>emergeDay</t>
  </si>
  <si>
    <t>integer</t>
  </si>
  <si>
    <t>read from initials file</t>
  </si>
  <si>
    <t>common block "development" from ricesim</t>
  </si>
  <si>
    <t>isTransplanted</t>
  </si>
  <si>
    <t>isMatured</t>
  </si>
  <si>
    <t>should move to SHOOTR</t>
  </si>
  <si>
    <t>"</t>
  </si>
  <si>
    <t>isSown</t>
  </si>
  <si>
    <t>seedbed</t>
  </si>
  <si>
    <t>this is the local soil environment in which seeds are planted.  can include soil and coldframe, hotbed, or raised bed, frequently in controlled environment;  these seedlings can then be transplanted.  seeding</t>
  </si>
  <si>
    <t>seeding bed increases the number of seeds that germinate</t>
  </si>
  <si>
    <t>seedling age</t>
  </si>
  <si>
    <t>associated with transplant shock effects on phenological development</t>
  </si>
  <si>
    <t>Notes from ORYZA Phenology Components</t>
  </si>
  <si>
    <t>phenological phases</t>
  </si>
  <si>
    <t>these are described with DVS from 0 to 2 including basic veg phase, photoperiod phase, panicle initiation (at 0.65), panicle formation phase (first flowering at DVS 1) and grain filling from 1 to DVS 2 at maturity</t>
  </si>
  <si>
    <t>each phase has 4 different T based rate constants that are varietal specific</t>
  </si>
  <si>
    <t>there are also cardinal temperatures that influence this response</t>
  </si>
  <si>
    <t>shock is simulated as lack of developmental progress which is estimated for a certain number of degreedays post transplanting</t>
  </si>
  <si>
    <t>older seedlings (DD) have higher transplant shock</t>
  </si>
  <si>
    <t>stage</t>
  </si>
  <si>
    <t>sowing</t>
  </si>
  <si>
    <t>panicle initiation</t>
  </si>
  <si>
    <t>&gt;1</t>
  </si>
  <si>
    <t>grainfilling starts</t>
  </si>
  <si>
    <t>first flower/ panicle formaation</t>
  </si>
  <si>
    <t>start of photoperiod sensitive phase</t>
  </si>
  <si>
    <t>prior to transplanting?</t>
  </si>
  <si>
    <t>after transplanting or direct sowing</t>
  </si>
  <si>
    <t>direct versus transplanted</t>
  </si>
  <si>
    <t>model was originally developed for tropical and transplanted rice system so direct-seeded varieties not as well studied with ORYZA</t>
  </si>
  <si>
    <t>as I understand, germination after sowing is not seeded; an input for emergence is used as well as initial rice dry weights/LAI at this stage</t>
  </si>
  <si>
    <t>this is true for transplanting date also</t>
  </si>
  <si>
    <t>in Initials:</t>
  </si>
  <si>
    <t>if direct sown, we put Emergence and Transplanting date equal to each other, and set ESTAB to 1</t>
  </si>
  <si>
    <t>if transplant, we provide separate dates for emergence and transplanting and set ESTAB to 0</t>
  </si>
  <si>
    <t>values for dru weight and leaf area at either emergence or transplanting are provided also in the initials file(LAPE through ZRTIS), currently line 38</t>
  </si>
  <si>
    <t>seed density</t>
  </si>
  <si>
    <t>for transplant the seed density is different in seedbed that it will be when transplanted.  seedbed density is the NPLSB value;  after transplanting it will be the NPLH * NHH values as  above</t>
  </si>
  <si>
    <t xml:space="preserve">for direct sown, there are parameters for # plants sown per m-2 (NPLDS) and # of hills and plants per hill.  I view plant senity as # hills * plants per hill (NHH, NPLH), can reviist.  For now thi s is similar to Poprow and RowSP  </t>
  </si>
  <si>
    <t>if transplant we need to know # days in seedbed from emergence to transplant date, right now it is the SBDUR vlaue but we should eventually just calculate as transplant date - emerge date in the Intiials file</t>
  </si>
  <si>
    <t>GRAINS</t>
  </si>
  <si>
    <t>logical functoin when grains are formed</t>
  </si>
  <si>
    <t>true/false</t>
  </si>
  <si>
    <t>isGrainfill</t>
  </si>
  <si>
    <t>0 or 1</t>
  </si>
  <si>
    <t>WGCOR</t>
  </si>
  <si>
    <t>NSP</t>
  </si>
  <si>
    <t>spikelet_num</t>
  </si>
  <si>
    <t>GNSP</t>
  </si>
  <si>
    <t>rate of increase in spikelet number</t>
  </si>
  <si>
    <t># ha-1 d-1</t>
  </si>
  <si>
    <t># plant-1 d-1</t>
  </si>
  <si>
    <t>SF3</t>
  </si>
  <si>
    <t>SFHEAT</t>
  </si>
  <si>
    <t>SFCOLD</t>
  </si>
  <si>
    <t>SPFERT</t>
  </si>
  <si>
    <t>daily spikelet fertility factor due to heat</t>
  </si>
  <si>
    <t>average spikelete fertility factor due to heat</t>
  </si>
  <si>
    <t>new cold fertility</t>
  </si>
  <si>
    <t>spikelet fertility</t>
  </si>
  <si>
    <t>GNGR</t>
  </si>
  <si>
    <t># ha-1 soil d-1</t>
  </si>
  <si>
    <t>rate_grain_num</t>
  </si>
  <si>
    <t>rate_spikelet_num</t>
  </si>
  <si>
    <t>max grain weight reduction when Tmin is low in early grain fill stages</t>
  </si>
  <si>
    <t>f_totdm_shoot</t>
  </si>
  <si>
    <t>grain formation</t>
  </si>
  <si>
    <t>starting at DVS 0.95, we start computing the number of these spikelets which are fertilized.  This is influenced by cold and heat stress, assimilate supply, and spikelet growth rate.  At DVS 1, no new spikelets are forming</t>
  </si>
  <si>
    <t>f_stemdm_reserve</t>
  </si>
  <si>
    <t>SPGF</t>
  </si>
  <si>
    <t>grw_SPGF</t>
  </si>
  <si>
    <t>spikelet growth factor</t>
  </si>
  <si>
    <t>NSPM2X</t>
  </si>
  <si>
    <t>a two pronged approach is used.  Starting at DVS 0.65, the total number of potential spikelets which can form are calculated each time-step.  This is based on two variety parameters for potential spikelet number and spikelet max and assimilate supply rate</t>
  </si>
  <si>
    <t>maximum number of spikelets</t>
  </si>
  <si>
    <t>grw_NSPM2X</t>
  </si>
  <si>
    <t>WGREC</t>
  </si>
  <si>
    <t>weight grain economic value</t>
  </si>
  <si>
    <t>grw_WGREC</t>
  </si>
  <si>
    <t>GLV</t>
  </si>
  <si>
    <t>dry matter growth rate of leaves</t>
  </si>
  <si>
    <t>kg ha-1 d-1</t>
  </si>
  <si>
    <t>..</t>
  </si>
  <si>
    <t>PWRR</t>
  </si>
  <si>
    <t>yield in case all fertile spikelets are completely filled</t>
  </si>
  <si>
    <t>GGR</t>
  </si>
  <si>
    <t>growth rate of grain weight</t>
  </si>
  <si>
    <t>variety</t>
  </si>
  <si>
    <t>act_leafgro</t>
  </si>
  <si>
    <t>act_leafgro_transplant</t>
  </si>
  <si>
    <t>act_stemreservegro</t>
  </si>
  <si>
    <t>act_stemreservegro_transplant</t>
  </si>
  <si>
    <t>act_roughricegro</t>
  </si>
  <si>
    <t>gas exchange</t>
  </si>
  <si>
    <t>Sanai's version replaces the original leaf photosynthesis routines with the gas exchange energy balance method.  I've since replaced this with the gas.exchange DLL which is used by all ACSL models</t>
  </si>
  <si>
    <t>Sanai's version however allows for developmentally linked changes in Jmax, Vcmax, TPU, G0, and g1 which I've since implemented</t>
  </si>
  <si>
    <t>Currently I am using the sunlit/shaded approach as in our other ACSL models, although Sanai kept utilizing the ORYZA original 3 layer model. I may want to consider this…</t>
  </si>
  <si>
    <t>nonlinear T resposne</t>
  </si>
  <si>
    <t>Sanai used a beta function approach to replace the look up tables.  I have implemented this in the growth based temperatue based responses in the temperature_function subroutines</t>
  </si>
  <si>
    <t>grainfill temperature stresses</t>
  </si>
  <si>
    <t>low and high temperature can result in either spikelet sterility or unfilled grains (is there a difference?) which basically is simulated as a reduced number of spikelets which are formed and fertilized.  ORYZA uses 5 different options to simulate these, Sanai used a SWIHEAT =4 options which was new.  This includes for high heat a slope of the T response that can change based on variety and extent to which T exceeds a critical threshold value</t>
  </si>
  <si>
    <t>there were oriignally 5 opstions to simulate cold sterility nand 3 options to simulate heat sterility</t>
  </si>
  <si>
    <t>Sanai used SWICOLD = 1 and SWIHEAT = 4</t>
  </si>
  <si>
    <t>ORYZA also uses light extinction coefficients that change with DVS and N distribution</t>
  </si>
  <si>
    <t>I shoud look at using these</t>
  </si>
  <si>
    <t>We are using the SUBGRN5 ORYZA routine as a base (most recent and what sanai utilized)</t>
  </si>
  <si>
    <t>COLDTT</t>
  </si>
  <si>
    <t>thermal time accumulation for cold T grain stress</t>
  </si>
  <si>
    <t>daily thermal units</t>
  </si>
  <si>
    <t>TINCR</t>
  </si>
  <si>
    <t>temperature induced curling</t>
  </si>
  <si>
    <t>PANEX</t>
  </si>
  <si>
    <t>panicle exertion</t>
  </si>
  <si>
    <t>Pan_exertion</t>
  </si>
  <si>
    <t>TMIN7</t>
  </si>
  <si>
    <t>minimum temperature over the past 7 days</t>
  </si>
  <si>
    <t>t_dailymin7</t>
  </si>
  <si>
    <t>TSSET</t>
  </si>
  <si>
    <t>temperature at sunset</t>
  </si>
  <si>
    <t>FLHAS</t>
  </si>
  <si>
    <t>FLTIME</t>
  </si>
  <si>
    <t>TPANFL</t>
  </si>
  <si>
    <t>RHFL</t>
  </si>
  <si>
    <t>flowering time in hours after sunrise</t>
  </si>
  <si>
    <t>flowering time in hours after midnight</t>
  </si>
  <si>
    <t>panicle temperature at flowering time</t>
  </si>
  <si>
    <t>RH at flowering time</t>
  </si>
  <si>
    <t>VPDFL</t>
  </si>
  <si>
    <t>VPD at flowering time</t>
  </si>
  <si>
    <t>NitrogenUptake</t>
  </si>
  <si>
    <t>HourlyNitrogenDemand</t>
  </si>
  <si>
    <t>CurrentNUptakeError</t>
  </si>
  <si>
    <t>CumulativeNUptakeError</t>
  </si>
  <si>
    <t>calculated from POPROW from ShootR</t>
  </si>
  <si>
    <t>plants per cm-1 slab</t>
  </si>
  <si>
    <t>PCRL</t>
  </si>
  <si>
    <t>PCRQ</t>
  </si>
  <si>
    <t>PCRS</t>
  </si>
  <si>
    <t>HourlyCarboUsed</t>
  </si>
  <si>
    <t>ET_demand</t>
  </si>
  <si>
    <t>RICESIM</t>
  </si>
  <si>
    <t>2DSOIL</t>
  </si>
  <si>
    <t>NDemandError</t>
  </si>
  <si>
    <t>not located with block</t>
  </si>
  <si>
    <t>CumulativeNDemandError</t>
  </si>
  <si>
    <t>LCAI</t>
  </si>
  <si>
    <t>NitroDemand</t>
  </si>
  <si>
    <t>WaterUptake</t>
  </si>
  <si>
    <t>AWUPS</t>
  </si>
  <si>
    <t>g water take up by roots in the slab per unit time</t>
  </si>
  <si>
    <t>g H2O slab-1 h-1</t>
  </si>
  <si>
    <t>water taken up by roots per slab per hour</t>
  </si>
  <si>
    <t>SIncrSink</t>
  </si>
  <si>
    <t>cumulative N mass take up per hour</t>
  </si>
  <si>
    <t>g N slab-1 h-1</t>
  </si>
  <si>
    <t>carbon allocated from shoot to root current used for root growth</t>
  </si>
  <si>
    <t>difference in N uptake versus demand, positive means surplus</t>
  </si>
  <si>
    <t>g N plant-1 h-1</t>
  </si>
  <si>
    <t>cumulative difference in N uptake versus demand, positive means surplus</t>
  </si>
  <si>
    <t>g N plant-1</t>
  </si>
  <si>
    <t>instantaneous ET demand from shoot to root</t>
  </si>
  <si>
    <t>plant N demand passed to roots</t>
  </si>
  <si>
    <t>ug N slab-1 d-1</t>
  </si>
  <si>
    <t>set to currentNuptake error which is a local variable</t>
  </si>
  <si>
    <t>set to cumultave Nuptake error "</t>
  </si>
  <si>
    <t>mmol H2O m-2 ground-1 s-1</t>
  </si>
  <si>
    <t>hourly transpiration rate for the canopy</t>
  </si>
  <si>
    <t>lwp_daily</t>
  </si>
  <si>
    <t>leaf water potenail each hour</t>
  </si>
  <si>
    <t>Mpa</t>
  </si>
  <si>
    <t>lwp_predawn</t>
  </si>
  <si>
    <t>leaf water potential at 5am</t>
  </si>
  <si>
    <t>g ch2o plant-1 h-1</t>
  </si>
  <si>
    <t>g ch2o slab-1 h-1</t>
  </si>
  <si>
    <t>TotalRootWeight</t>
  </si>
  <si>
    <t>total root root growth over season to this point</t>
  </si>
  <si>
    <t>MaxRootDepth</t>
  </si>
  <si>
    <t>max rooting depth</t>
  </si>
  <si>
    <t>cm?</t>
  </si>
  <si>
    <t>not sure if used</t>
  </si>
  <si>
    <t>AvailableNitrogen</t>
  </si>
  <si>
    <t>CumulativeNitrogen</t>
  </si>
  <si>
    <t>current N take up from soil for the hour</t>
  </si>
  <si>
    <t>cumulative N takeup since emergence</t>
  </si>
  <si>
    <t>g N plant-1 season-1</t>
  </si>
  <si>
    <t>related to N uptake per time-step</t>
  </si>
  <si>
    <t>ET_supply</t>
  </si>
  <si>
    <t xml:space="preserve">current supply of water to the plant </t>
  </si>
  <si>
    <t>TotalSoilWaterUptake</t>
  </si>
  <si>
    <t>HourlySoilWaterUptake</t>
  </si>
  <si>
    <t>g h2o plant-1</t>
  </si>
  <si>
    <t>g h2o plant-1 h-1</t>
  </si>
  <si>
    <t>water take up hourly by roots per hour</t>
  </si>
  <si>
    <t>cumulative water take up by roots</t>
  </si>
  <si>
    <t>COVER</t>
  </si>
  <si>
    <t>HEIGHT</t>
  </si>
  <si>
    <t>SHADE</t>
  </si>
  <si>
    <t>current demand for N from the crop</t>
  </si>
  <si>
    <t>shootPart</t>
  </si>
  <si>
    <t>rootPart</t>
  </si>
  <si>
    <t>rootPartold</t>
  </si>
  <si>
    <t>rootPool</t>
  </si>
  <si>
    <t>shootPartold</t>
  </si>
  <si>
    <t>leaf + stem growth rate</t>
  </si>
  <si>
    <t>g cho plant h-1</t>
  </si>
  <si>
    <t>leaf + stem growth rate from prior time-step</t>
  </si>
  <si>
    <t>root growth rate</t>
  </si>
  <si>
    <t>root grwoth rate fro prior time-step</t>
  </si>
  <si>
    <t xml:space="preserve">root CHO unallocated </t>
  </si>
  <si>
    <t>g cho plant-1</t>
  </si>
  <si>
    <t>g cm2 d-1?</t>
  </si>
  <si>
    <t>ug N h-1</t>
  </si>
  <si>
    <t>April</t>
  </si>
  <si>
    <t>plant growth dominated by LAI over 15! and small dry mass</t>
  </si>
  <si>
    <t>life cycle is almost 150 days, may be issue with hourly time-step</t>
  </si>
  <si>
    <t>organ growth</t>
  </si>
  <si>
    <t>age dependent part. coefficient is computed for shoot, and the rest is allocated to root</t>
  </si>
  <si>
    <t>among shoot organs, there are different coefficients for leaf, stem, and storage which are also functions of age</t>
  </si>
  <si>
    <t>current assimilate is partitioned into leaf, stem, root, stemreserves and storage (for panicle) each time step</t>
  </si>
  <si>
    <t>potential organ growth can be reduced by transplant shock</t>
  </si>
  <si>
    <t>not clear, but ORYZA appears to use "roughrice and "panicle" interchangably</t>
  </si>
  <si>
    <t>checks are made to compensate for how much root mass was actually allocated to 2DSOIL in the prior timestep</t>
  </si>
  <si>
    <t>if too much was take into 2DSOIL, canopy growth is reduced, then stem reserves</t>
  </si>
  <si>
    <t>if too little is taken, the amount goes into a root C pool where it can be used during nighttime if available</t>
  </si>
  <si>
    <t>potential leaf area is calculated based on hourly thermal time units, hourly Tair, and SLA</t>
  </si>
  <si>
    <t>may need to move to daily basis as LAI appears to get too large and uncoupled from leaf dw?</t>
  </si>
  <si>
    <t>LAI growth</t>
  </si>
  <si>
    <t>using version of SUBLAI3 from ORYZA</t>
  </si>
  <si>
    <t>there is an initial expansion rate that is read from the variety file, RGRLMX, which can be reduced by stresses for N and W</t>
  </si>
  <si>
    <t>this is also reducced by water based elongatoin stress</t>
  </si>
  <si>
    <t>if LAI is less than 1</t>
  </si>
  <si>
    <t>there is a check to limit LAI by SLA as well</t>
  </si>
  <si>
    <t>multiplied by current LAI it simply gives cm2-leaf / cm2-ground per C-hour * current hourly leaf heat units to give cm2 cm-2 as potential expansion</t>
  </si>
  <si>
    <t>if LAI is 1 or higher</t>
  </si>
  <si>
    <t>in generaly, early expansion is determined by varietal relative expansion rate (RGRL) , hourly thermal time, and water stress</t>
  </si>
  <si>
    <t>after LAI exceeds 1 or</t>
  </si>
  <si>
    <t>if LAI is higher there is a transition to SLA limited growth but this transition occurs gradually based on the two approaches</t>
  </si>
  <si>
    <t>at this stage, actual leaf area expansion is based on current leaf_dw + growth_dw - senescence (acounted for later) - the current LAI</t>
  </si>
  <si>
    <t>WLVGEXP</t>
  </si>
  <si>
    <t>WLVGEXS</t>
  </si>
  <si>
    <t>local</t>
  </si>
  <si>
    <t>LAIEXS</t>
  </si>
  <si>
    <t>green leaf dm before LAI hits 1.0 or above for transplant</t>
  </si>
  <si>
    <t>lai prior to LAI hits 1.o or oabve for transplante</t>
  </si>
  <si>
    <t>WLVEXP</t>
  </si>
  <si>
    <t>LAIEXP</t>
  </si>
  <si>
    <t>green leaf dm before LAI hits 1.0 or above for direct seed</t>
  </si>
  <si>
    <t>lai prior to LAI hits 1.0 for direct seed</t>
  </si>
  <si>
    <t>there is a factor 'x' which is supposed to balance SLA limited expansion rate</t>
  </si>
  <si>
    <t>popslab</t>
  </si>
  <si>
    <t>minimum amount of CHO to allocate to roots in 2DSOIL</t>
  </si>
  <si>
    <t>maximum amount of CHO to allocate to roots in 2DSOIL</t>
  </si>
  <si>
    <t>Initialrootcarbo</t>
  </si>
  <si>
    <t>maxrootdepth</t>
  </si>
  <si>
    <t>what units?</t>
  </si>
  <si>
    <t>initial root mass at emergence?</t>
  </si>
  <si>
    <t>PCRTS</t>
  </si>
  <si>
    <t>occcasional issues iTIME where there the model seems to hiccup and repeat same time twice then skip the folloing iTime</t>
  </si>
  <si>
    <t>tracing indicates is is something that occurs when synchronizer steps decrease such that many time-steps occur in 2DSOIL before the tnext(modnum) threshold is reached</t>
  </si>
  <si>
    <t>what happens is  that iTime does not update in setsurface(this is with daily weather data) but in crop.for, the hourly convergence requireements are met so the model loops again with the same iTime value</t>
  </si>
  <si>
    <t>eventually it corrects itsel</t>
  </si>
  <si>
    <t>issue appears either related to the setsurface recalculation of iTime, or more likely, something with how tnext is updated before the convergence is met in setsurface</t>
  </si>
  <si>
    <t>first issue I note is dayofyear 136, iDAS 18 at with itime at 9 and then 9 again</t>
  </si>
  <si>
    <t>g04 file not being created, , convergence issue of time - itime(time) .LT 0.99 is never met</t>
  </si>
  <si>
    <t>as far as I can determine this convergence won't ever occur since period timestep is about 0.042, so it will skep over the 0.99.  I fudged it to 0.957 on line 352 in the Ouptut file</t>
  </si>
  <si>
    <t>but this seems to work for other crop models so not sure what is different for RICESEIM</t>
  </si>
  <si>
    <t>note that so far I did also do type casting to make sure variables are declared consistent type in 2DSOIL versus common blocks in RICESIM; so far have checked time-public and shootR</t>
  </si>
  <si>
    <t>dry mas total storage (before it goes to grain)</t>
  </si>
  <si>
    <t>dry mass mobile C in stem</t>
  </si>
  <si>
    <t>total_grn_dw</t>
  </si>
  <si>
    <t>dry mass of all organs except dead</t>
  </si>
  <si>
    <t>specific leaf area</t>
  </si>
  <si>
    <t>t_SLA</t>
  </si>
  <si>
    <t>dvs varying SLA</t>
  </si>
  <si>
    <t>threshold above which leaf senescence due to shading increases</t>
  </si>
  <si>
    <t>cm2 cm-2</t>
  </si>
  <si>
    <t>root_depth</t>
  </si>
  <si>
    <t>Pg_gross</t>
  </si>
  <si>
    <t>gross hourly photosynthetic rate</t>
  </si>
  <si>
    <t>pot_leafgro</t>
  </si>
  <si>
    <t>…</t>
  </si>
  <si>
    <t>potential hourly leaf growth rate</t>
  </si>
  <si>
    <t>dry mass of rough rice (may be panicle)</t>
  </si>
  <si>
    <t>R_tot</t>
  </si>
  <si>
    <t>total hourly respiration rate</t>
  </si>
  <si>
    <t>g CHO plant-1 h-1</t>
  </si>
  <si>
    <t>what are typical measureed data</t>
  </si>
  <si>
    <t>weed rice</t>
  </si>
  <si>
    <t>150 to 225 g plant-1 of seed yield</t>
  </si>
  <si>
    <t>flowering from 56 to 126 DAP</t>
  </si>
  <si>
    <t>(Ziska)</t>
  </si>
  <si>
    <t>projected rice (Zhao et al., 2022)</t>
  </si>
  <si>
    <t>global historical yield dataset at 0.5 degres reso from 1981 to 2016 (corn, rice, wheat, soybean)</t>
  </si>
  <si>
    <t>historical rice yields</t>
  </si>
  <si>
    <t>5 to 7 t/ha asia</t>
  </si>
  <si>
    <t>7 to 8 or so North America</t>
  </si>
  <si>
    <t>ORYZA simulations Nurulhuda 2022</t>
  </si>
  <si>
    <t>observed data indica variety, malaysia</t>
  </si>
  <si>
    <t>about 16,000 kg ha-1 totla mass</t>
  </si>
  <si>
    <t>1500 kg ha-1 dead leaf</t>
  </si>
  <si>
    <t>LAI maxe around 7 to 8</t>
  </si>
  <si>
    <t>5000 ste,</t>
  </si>
  <si>
    <t>3 to 4000 green leaf</t>
  </si>
  <si>
    <t>5 to 6000 panicles</t>
  </si>
  <si>
    <t>Fleisher et al., 2021</t>
  </si>
  <si>
    <t>biomass</t>
  </si>
  <si>
    <t>70 to 100 g plant-1 total</t>
  </si>
  <si>
    <t>6 12 green leaf</t>
  </si>
  <si>
    <t>20 to 50 stem</t>
  </si>
  <si>
    <t>30 to 65 panicle</t>
  </si>
  <si>
    <t>20 to 60 grain</t>
  </si>
  <si>
    <t>leaf level photosynthetic rates around 20 to 40 umol CO2 m-2 s-1</t>
  </si>
  <si>
    <t>typical planting densitiies 11 m-2 on the low side, 200 to 300 m-2 norma/high, but actual established seedlings between 75 to 200 plants m-2</t>
  </si>
  <si>
    <t>at a density of about 12 plants m-2:</t>
  </si>
  <si>
    <t>total</t>
  </si>
  <si>
    <t>greenleaf</t>
  </si>
  <si>
    <t>panicle</t>
  </si>
  <si>
    <t>grain</t>
  </si>
  <si>
    <t>actual experimental information</t>
  </si>
  <si>
    <t># kg-1 biomass</t>
  </si>
  <si>
    <t># g-1 biomass</t>
  </si>
  <si>
    <t># / m2 (I think)</t>
  </si>
  <si>
    <t>May</t>
  </si>
  <si>
    <t>NCFG</t>
  </si>
  <si>
    <t>NPFG</t>
  </si>
  <si>
    <t>NUFG</t>
  </si>
  <si>
    <t>number of completely filled grains</t>
  </si>
  <si>
    <t>number of partially filled grains</t>
  </si>
  <si>
    <t># / ha</t>
  </si>
  <si>
    <t>number of unfilled grains</t>
  </si>
  <si>
    <t>WHSKBR</t>
  </si>
  <si>
    <t>FHSKBR</t>
  </si>
  <si>
    <t>weight of spikelet husk    (storage weight - rough rice weight)</t>
  </si>
  <si>
    <t>weight of spikelet branches (spikelet husk / storage weight)</t>
  </si>
  <si>
    <t>WRR14</t>
  </si>
  <si>
    <t>rought rice weight with 14% moisture (WRR/0.86)</t>
  </si>
  <si>
    <t>plant density has really large effect on per plant response, maybe htat is realistic.</t>
  </si>
  <si>
    <t>for exampel 15 hills with 5 plants per hill (75 plants m-2) gives small plants with about 50 g yield;   15 plants m-2 gives about 232 g plant-1 yield</t>
  </si>
  <si>
    <t>dayofyear</t>
  </si>
  <si>
    <t>days after sowing</t>
  </si>
  <si>
    <t>hour of day</t>
  </si>
  <si>
    <t>cropstage</t>
  </si>
  <si>
    <t>developmental stage</t>
  </si>
  <si>
    <t>Tair</t>
  </si>
  <si>
    <t>Tcanopy</t>
  </si>
  <si>
    <t>SRAD</t>
  </si>
  <si>
    <t>Leaf area</t>
  </si>
  <si>
    <t>total green mass</t>
  </si>
  <si>
    <t>green leaf mass</t>
  </si>
  <si>
    <t>deadleaf mass</t>
  </si>
  <si>
    <t>stem mass</t>
  </si>
  <si>
    <t>root mass</t>
  </si>
  <si>
    <t>storage mass</t>
  </si>
  <si>
    <t>stemreserve mass</t>
  </si>
  <si>
    <t>grain mass</t>
  </si>
  <si>
    <t>Variable</t>
  </si>
  <si>
    <t>Name</t>
  </si>
  <si>
    <t>IDAS</t>
  </si>
  <si>
    <t>iTIME</t>
  </si>
  <si>
    <t>TAIR(iTIME)</t>
  </si>
  <si>
    <t>T_canopy(ITIME)</t>
  </si>
  <si>
    <t>WATTSM(iTIME)</t>
  </si>
  <si>
    <t>pg_gross</t>
  </si>
  <si>
    <t>r_tot</t>
  </si>
  <si>
    <t>Gross photosynthesis</t>
  </si>
  <si>
    <t>Total respiration</t>
  </si>
  <si>
    <t>Hourly Output of G01 File</t>
  </si>
  <si>
    <t>Units</t>
  </si>
  <si>
    <t>hr</t>
  </si>
  <si>
    <t>W m-2</t>
  </si>
  <si>
    <t>cm2 plant-1</t>
  </si>
  <si>
    <t>g CH2O m-2 h-1</t>
  </si>
  <si>
    <t>Gasexchange.crop file</t>
  </si>
  <si>
    <t>day of year</t>
  </si>
  <si>
    <t>PPFsun</t>
  </si>
  <si>
    <t>PPFshade</t>
  </si>
  <si>
    <t>Transp</t>
  </si>
  <si>
    <t>Gs</t>
  </si>
  <si>
    <t>LWPhour</t>
  </si>
  <si>
    <t>umol CO2 m-2 ground s-1</t>
  </si>
  <si>
    <t>umol CO2 m-2 leaf s-1</t>
  </si>
  <si>
    <t>LAI sun</t>
  </si>
  <si>
    <t>LAI shade</t>
  </si>
  <si>
    <t>general things</t>
  </si>
  <si>
    <t>test direct/transplant options</t>
  </si>
  <si>
    <t>migrate to 2DSOIL with flooding option</t>
  </si>
  <si>
    <t>test seed density issues</t>
  </si>
  <si>
    <t>mass balance looks fine</t>
  </si>
  <si>
    <t>x</t>
  </si>
  <si>
    <t>gas exchanger dll</t>
  </si>
  <si>
    <t>pnet, rtot, and dry mass gains and totals are with in &lt; 1% errror for sample run I did</t>
  </si>
  <si>
    <t>some error in Sanai's estimate of Ko,Kc, using default rice values and original T response functions for Jmax, Vcmax, TPU</t>
  </si>
  <si>
    <t>I did notice that during low LAI, sunlit/shade LAI seem strange (not much difference, which actually makeas sense, low LAI, means all is exposed canopy hasn' t closed)</t>
  </si>
  <si>
    <t>Also, sanai has the three parameters changing as a functoin of DVS this causes earlier and later in the season some odd shapes responses, need to revisit at some point</t>
  </si>
  <si>
    <t>water relationships</t>
  </si>
  <si>
    <t>good</t>
  </si>
  <si>
    <t>revisit</t>
  </si>
  <si>
    <t xml:space="preserve">transpiration lookgs good, about 300 to 380 mm per m-2 season-1 </t>
  </si>
  <si>
    <t xml:space="preserve"> water is 1 g cm-3  we use that and if we do the conversions it basically results in 380 mm for the season</t>
  </si>
  <si>
    <t xml:space="preserve"> all good (just divide total g H2o M-2 season by 1000 to get mm season-1)</t>
  </si>
  <si>
    <t>water uptake and balance</t>
  </si>
  <si>
    <t>from oryza manual report</t>
  </si>
  <si>
    <t>10 t ha-1 in tropical environments maximum, up to 15 tha-1 in more temperate climates</t>
  </si>
  <si>
    <t>model background</t>
  </si>
  <si>
    <t>parameterized in IRRI to address declining rice yields and need for varieties with increased yield potential in tropical production</t>
  </si>
  <si>
    <t>found yields in 80 and 90 to be lower than those in 1970s (e..g 7 versus 9.5 t ha-1)</t>
  </si>
  <si>
    <t>modern versus earlier rice varieties was potentially the problem</t>
  </si>
  <si>
    <t>shorter duratoin, pest resistant</t>
  </si>
  <si>
    <t>but earlier varieties were susceptible to diseases</t>
  </si>
  <si>
    <t>CERES-RICE was already developed</t>
  </si>
  <si>
    <t>low yields could also be limited by N supply / leaf tissue during grain fill, early senescence, reduced Anet</t>
  </si>
  <si>
    <t>experiments concurrent with modeling to test these concepts</t>
  </si>
  <si>
    <t>wet and dry seasons</t>
  </si>
  <si>
    <t>under irrigated conditions</t>
  </si>
  <si>
    <t>2 N inputs (110 or 225 kg N ha-1);  prior max rates were 30 and 105, along wwith a late application at flowering to maintain leaf N status at grainfill</t>
  </si>
  <si>
    <t>nearly 40% higher yields in dry versus wet season, both observed and simulated for two varieties</t>
  </si>
  <si>
    <t>this confirmed genetic potential was unchanged, yield reduction of current versus older years was managmenet cause</t>
  </si>
  <si>
    <t>"differences in weather and crop N status determined yield differences between WS and DS"</t>
  </si>
  <si>
    <t>novel things ORYZA now simulations</t>
  </si>
  <si>
    <t>growth in the seedbed and effects of transplanting shock</t>
  </si>
  <si>
    <t>leaf area development includes source- and sink limiting phase</t>
  </si>
  <si>
    <t>phenological development uses optimium curve</t>
  </si>
  <si>
    <t>photosynthetic parameters are calculated from leaf N</t>
  </si>
  <si>
    <t>routines for calculating spikelet number and grain number introduced</t>
  </si>
  <si>
    <t>field measurements</t>
  </si>
  <si>
    <t>LAI and leaf N content</t>
  </si>
  <si>
    <t>model can</t>
  </si>
  <si>
    <t>simulate realistic yields</t>
  </si>
  <si>
    <t>assess impact of planting date, weather, latitude on measured leaf N contents</t>
  </si>
  <si>
    <t>important to simulate pattern of leaf photosynhtesis over time</t>
  </si>
  <si>
    <t>the ideas is that prior to canopy closure, growth is non-limited by CHO production</t>
  </si>
  <si>
    <t>thus with canopy close, leaf area increase Is meant to be related to increase in leaf dry weight as linked with SLA</t>
  </si>
  <si>
    <t>SLA can change over time based on user specific values wrt DVS</t>
  </si>
  <si>
    <t>T stresses</t>
  </si>
  <si>
    <t>number of cold days subsequent which exceeds a given value can result in crop death</t>
  </si>
  <si>
    <t>development</t>
  </si>
  <si>
    <t>uses bilinear rate with simulated hourly response, we moved to beta function with more realistic hourly T data simulation</t>
  </si>
  <si>
    <t>handle sowing prior to end of calendar year (ORYZA uses seedling age to try to avoid this problem)</t>
  </si>
  <si>
    <t>developmental rates T and Pp Driven</t>
  </si>
  <si>
    <t>rate constants for each phase are cultivar specific</t>
  </si>
  <si>
    <t>shorter photoperiods result in longer photoperiod sensitive stage</t>
  </si>
  <si>
    <t>transplanted rice can cause delay in phenological development as a function of age of seedlings at transplant, this is derived as a degree day shock during which no development occurs</t>
  </si>
  <si>
    <t>linear relationship between seedling age at transpanting (in DD) and the transplant shock duratoin (n DD)</t>
  </si>
  <si>
    <t>there can be a feedback mechanism when assimilates accumulate in the leaves faster than grain fill rate (based on # of grains and max growth rate of grains)</t>
  </si>
  <si>
    <t>spikelet growth factor, total number of spikelets should be proportional to growth during PI and flowering (g m-2), not current biomass</t>
  </si>
  <si>
    <t>from DVS 0.65 (PI) to DVS 1.0 (1st flower)</t>
  </si>
  <si>
    <t>assimilates from stem reserves can be translocated</t>
  </si>
  <si>
    <t>in ricesim</t>
  </si>
  <si>
    <t>evaporation from soil surface in 2DSOIL</t>
  </si>
  <si>
    <t>transpiration from canopy in gas exchange</t>
  </si>
  <si>
    <t>water supply comes at following time step</t>
  </si>
  <si>
    <t>tries to satisfy uptake demand via lowering canopy bulk leaf water potential as needed to extract more water from drying soil</t>
  </si>
  <si>
    <t>water demand comes from plant and evaporation from soil</t>
  </si>
  <si>
    <t>LWP continues to decline which in theory should close stomata, reducin Pnet and Transpiration</t>
  </si>
  <si>
    <t>carbon allocated to the roots is also partitioning in horizontal and vertical cells in the soil based on preference factors</t>
  </si>
  <si>
    <t>we track of too much CHO is used, or too little and adjust plant assimilate rate at following timestep to compensate</t>
  </si>
  <si>
    <t>okay</t>
  </si>
  <si>
    <t>root dry mass difference between above ground versus 2DSOIl tracking slightly off.  Reason is due to Rm and Rg being subtracted from root pool itself after carbon allocated.</t>
  </si>
  <si>
    <t>to fix, will eventualy need to subtract out the respiratory costs at the time of organ growth estimates.</t>
  </si>
  <si>
    <t>g CHO d-1 slab-1</t>
  </si>
  <si>
    <t>actual carbon allocated from shoot to root at prior time step which needs to be accounted for</t>
  </si>
  <si>
    <t>g CHo2 slab-1 season-1</t>
  </si>
  <si>
    <t>divdied by popslab to get g plant-1</t>
  </si>
  <si>
    <t>EO</t>
  </si>
  <si>
    <t>potential transpiration rate</t>
  </si>
  <si>
    <t>EOR</t>
  </si>
  <si>
    <t>potential transpiration rate per slab</t>
  </si>
  <si>
    <t>et_demand</t>
  </si>
  <si>
    <t>transpiration demand from crop.dll</t>
  </si>
  <si>
    <t>g cm-2 d-1</t>
  </si>
  <si>
    <t>2DSOIL water variables</t>
  </si>
  <si>
    <t>g slab-1 d-1</t>
  </si>
  <si>
    <t>potential amount of PCRS used in 2DSOIL at timestep?</t>
  </si>
  <si>
    <t>WUPTS</t>
  </si>
  <si>
    <t>WUPRS</t>
  </si>
  <si>
    <t>new root water uptake when all C goes to roots</t>
  </si>
  <si>
    <t>g d-1</t>
  </si>
  <si>
    <t>depth of seed planting. Use grid y-axis.  For example, if 200 nodes in vertical dimensoin and seed is at 1 cm depth, place at 199</t>
  </si>
  <si>
    <t>yseed</t>
  </si>
  <si>
    <t>location of plant on slab horizontal plane, usually at position 0</t>
  </si>
  <si>
    <t>xseed</t>
  </si>
  <si>
    <t>plants m-2 (poprow / (rowspacing/100)</t>
  </si>
  <si>
    <t>density</t>
  </si>
  <si>
    <t>spacing between rows in cm</t>
  </si>
  <si>
    <t>rowspacing</t>
  </si>
  <si>
    <t># plants per 1-m row</t>
  </si>
  <si>
    <t>poprow</t>
  </si>
  <si>
    <t>Initials</t>
  </si>
  <si>
    <t xml:space="preserve">popslab = </t>
  </si>
  <si>
    <t>example calcl</t>
  </si>
  <si>
    <t>row spacing (in initials file)</t>
  </si>
  <si>
    <t>row-spacing</t>
  </si>
  <si>
    <t>0.5 if we are simulating half row-spacing (usually the case, set in the initials file)</t>
  </si>
  <si>
    <t>eomult</t>
  </si>
  <si>
    <t>this variable represents the number (fractions) on this unit of land</t>
  </si>
  <si>
    <t>the row spacing and vertical depth are indicated in initials and grid file respectively</t>
  </si>
  <si>
    <t>2DSOIL represents the plant as growing on a slab with a 0.01 m width, a half row-spacing length, and a depth equivalent to the grid vertical y dimension.</t>
  </si>
  <si>
    <t>Popslab</t>
  </si>
  <si>
    <t>2DSOIL conversions</t>
  </si>
  <si>
    <t>respiration</t>
  </si>
  <si>
    <t>should substract Rg and Rm from assimilate pool first, and not from organ classes afterwards,  as is creates mass balanceing issue between 2DSOIL root estimate and crop.dll</t>
  </si>
  <si>
    <t>right now root Rg / Rm turned off</t>
  </si>
  <si>
    <t>water relations</t>
  </si>
  <si>
    <t>Zhang 2023 paper has multiple leaf gas exchange responses verus LWP for leaf and panicle</t>
  </si>
  <si>
    <t>I used these to develop gs versus psi response</t>
  </si>
  <si>
    <t>but can compare these other responses (Anet, Vcmax versus psi) and couple with other data sources to compare:</t>
  </si>
  <si>
    <t>1 - reproduciability</t>
  </si>
  <si>
    <t>2 - different water stress methods for our models versus ORIZA (e.g. leaf rolling versus gs, etc.)</t>
  </si>
  <si>
    <t>3 - how do these methods influence accuracy of water management strategies?</t>
  </si>
  <si>
    <t>141.5 g rough rice plant-1</t>
  </si>
  <si>
    <t>RICESIM2D version May 20, 2024</t>
  </si>
  <si>
    <t>max lai about 2.8</t>
  </si>
  <si>
    <t>flowering around 62 dap</t>
  </si>
  <si>
    <t>using plant density of 15</t>
  </si>
  <si>
    <t>Mg ha-1</t>
  </si>
  <si>
    <t>simulated yield actually pretty high</t>
  </si>
  <si>
    <t>WST</t>
  </si>
  <si>
    <t>structural stem dm</t>
  </si>
  <si>
    <t>stem dry weight</t>
  </si>
  <si>
    <t>ha kg-1 stem</t>
  </si>
  <si>
    <t>cm2 g-1stem</t>
  </si>
  <si>
    <t>stem area index</t>
  </si>
  <si>
    <t>have routine now to add stem area index into LAI for purpose of light interception</t>
  </si>
  <si>
    <t>has a large influence, so limited this change to very small fraction of stem mass</t>
  </si>
  <si>
    <t>at some point should reviist</t>
  </si>
  <si>
    <t>water stress</t>
  </si>
  <si>
    <t>gs versus pre-dawn LWP implemented for gas exchange porcess</t>
  </si>
  <si>
    <t>wateruptake</t>
  </si>
  <si>
    <t>appears to be okay</t>
  </si>
  <si>
    <t>G01 pot and actual transpiration match fairly well</t>
  </si>
  <si>
    <t>LWP functioning from soil to plant and vice versa appears to function</t>
  </si>
  <si>
    <t>Variable defsn</t>
  </si>
  <si>
    <t>name</t>
  </si>
  <si>
    <t>controller.cpp class</t>
  </si>
  <si>
    <t>photosynthesis_gross</t>
  </si>
  <si>
    <t>photosynthesis_net</t>
  </si>
  <si>
    <t>gross assimilate rate per unit ground area</t>
  </si>
  <si>
    <t>net assimilate rate per unit ground area</t>
  </si>
  <si>
    <t>gross transpiration rate per unit ground area</t>
  </si>
  <si>
    <t>average leaf surface temperatre</t>
  </si>
  <si>
    <t>note</t>
  </si>
  <si>
    <t>sums up sunlit and shade LAI</t>
  </si>
  <si>
    <t>averages sunlit and shaded LAI</t>
  </si>
  <si>
    <t>sunlit leaf only</t>
  </si>
  <si>
    <t>photosynthesis_netsunlitleaf</t>
  </si>
  <si>
    <t>photosynthesis_netshadedleaf</t>
  </si>
  <si>
    <t>net assimilate per unit sunlit leaf</t>
  </si>
  <si>
    <t>net assimilate per unit shaded ldeaf</t>
  </si>
  <si>
    <t>transpiration per per unit sunlitleaf</t>
  </si>
  <si>
    <t>transpiration per per unit shadedleaf</t>
  </si>
  <si>
    <t>transpiration rate per unit sunlit leaf</t>
  </si>
  <si>
    <t>total stomatal conducance of sunlit and shaded leaf added together</t>
  </si>
  <si>
    <t>not sure that makes sense?, should we do average?</t>
  </si>
  <si>
    <t>mmol H2o m-2 s-1</t>
  </si>
  <si>
    <t>conductance</t>
  </si>
  <si>
    <t>average stomatal codnuctance</t>
  </si>
  <si>
    <t>mmol H2O m-2 s-1</t>
  </si>
  <si>
    <t>LAI weighted average for sunlit and shaded leaf, use thisone</t>
  </si>
  <si>
    <t>in RICESIM declaration:</t>
  </si>
  <si>
    <t>pgtotal</t>
  </si>
  <si>
    <t>pgleaf_shade</t>
  </si>
  <si>
    <t>same as photosynthesis_grosssunlitleaf</t>
  </si>
  <si>
    <t>same as photosynthesis_grossshadedleaf</t>
  </si>
  <si>
    <t>gross assimilate per unit sunlit leaf</t>
  </si>
  <si>
    <t>gross assimilate per unit shaded ldeaf</t>
  </si>
  <si>
    <t>revisit T response on vcmax, jmax, TPU</t>
  </si>
  <si>
    <t>seems too impactful, particularly Jmax, throttling down photosynthetic rates mid-day due to temperatures, may be issues with other crop models too?</t>
  </si>
  <si>
    <t>impact oon leaf exansion rate assocaited with pre-dawn LWP</t>
  </si>
  <si>
    <t>leaf expansion</t>
  </si>
  <si>
    <t>functional now but the plots versus time show large lag phase and then brief and high magnitude increase in area, seems unrealistic, need to revisi</t>
  </si>
  <si>
    <t>nitrogen uptake</t>
  </si>
  <si>
    <t>this is not due to water stress routine, same shape occurs whether it is stressed or not…</t>
  </si>
  <si>
    <t>we use pre-dawn LWP as the hydraulic signal for both stomatal conductance and daily leaf expansion rate</t>
  </si>
  <si>
    <t>0 to 1?</t>
  </si>
  <si>
    <t>lf_wat_rf</t>
  </si>
  <si>
    <t>0 to 1, based on pre-dawn LWP, used slighlty differently that LESTRS</t>
  </si>
  <si>
    <t>root DM partitioning increased at cost of shoot prior to grainformation basedon pre-dawn LWP for leaf expansion</t>
  </si>
  <si>
    <t>NFLV</t>
  </si>
  <si>
    <t>NCLV</t>
  </si>
  <si>
    <t>kg N kg-1 leaf</t>
  </si>
  <si>
    <t>g N m-2 leaf</t>
  </si>
  <si>
    <t>NCST</t>
  </si>
  <si>
    <t>kg N kg-1 stem</t>
  </si>
  <si>
    <t>NBIOM</t>
  </si>
  <si>
    <t>kg N ha-1</t>
  </si>
  <si>
    <t>N content in spikelets (SPGF * NBIOM)</t>
  </si>
  <si>
    <t>kg N spikelets-1</t>
  </si>
  <si>
    <t>double check units…</t>
  </si>
  <si>
    <t>NSPJUV</t>
  </si>
  <si>
    <t>N content of biomass (stem + leaves)</t>
  </si>
  <si>
    <t>current number of spikelets</t>
  </si>
  <si>
    <t>number of grains (feritlized spikelets, was NFS in the original model)</t>
  </si>
  <si>
    <t>rate of increase in fertilized spikelet number</t>
  </si>
  <si>
    <t>NMINSO</t>
  </si>
  <si>
    <t>NMAXL</t>
  </si>
  <si>
    <t>NMINL</t>
  </si>
  <si>
    <t>FNLV</t>
  </si>
  <si>
    <t>NFLVTB</t>
  </si>
  <si>
    <t>N fraction in leaves as functoin of leaf area basis and DVS</t>
  </si>
  <si>
    <t>look up table</t>
  </si>
  <si>
    <t>NMAXUP</t>
  </si>
  <si>
    <t>maximum daily N uptake</t>
  </si>
  <si>
    <t>kg N ha-1 d-1</t>
  </si>
  <si>
    <t>variety value</t>
  </si>
  <si>
    <t>RFNLV</t>
  </si>
  <si>
    <t>residual N fraction in leaves</t>
  </si>
  <si>
    <t>kg N kg-1 leaves</t>
  </si>
  <si>
    <t>FNTRT</t>
  </si>
  <si>
    <t>fraction N translocated from roots as fraction from stems and leaves</t>
  </si>
  <si>
    <t>FRNST</t>
  </si>
  <si>
    <t>residual N fraction of stems</t>
  </si>
  <si>
    <t>kg N kg-1 stems</t>
  </si>
  <si>
    <t>TCNTRF</t>
  </si>
  <si>
    <t>time coefficient of N translocation to grains</t>
  </si>
  <si>
    <t>d</t>
  </si>
  <si>
    <t>NFLVI</t>
  </si>
  <si>
    <t>initial leaf N fraction</t>
  </si>
  <si>
    <t>FNLVI</t>
  </si>
  <si>
    <t>initial leaf fractoin</t>
  </si>
  <si>
    <t>NMAXSO</t>
  </si>
  <si>
    <t>max N concent in storage organs</t>
  </si>
  <si>
    <t>kg N kg-1</t>
  </si>
  <si>
    <t>NMINSOT</t>
  </si>
  <si>
    <t>min N concent in storage organs look up table versus total N</t>
  </si>
  <si>
    <t>NMAXLT</t>
  </si>
  <si>
    <t>NMINLT</t>
  </si>
  <si>
    <t>kg N kg -1</t>
  </si>
  <si>
    <t>Kg N kg-1</t>
  </si>
  <si>
    <t>effect of N stress on leaf senescence based on N stress</t>
  </si>
  <si>
    <t>max leaf N fraction on weight basis versus DVS table</t>
  </si>
  <si>
    <t>min leaf N fractoin based on DVS table</t>
  </si>
  <si>
    <t>nit_nMAXSO</t>
  </si>
  <si>
    <t>nit_NMAXUP</t>
  </si>
  <si>
    <t>nit_RFNLV</t>
  </si>
  <si>
    <t>nit_FNTRT</t>
  </si>
  <si>
    <t>nit_RFNST</t>
  </si>
  <si>
    <t>nit_TCRTRF</t>
  </si>
  <si>
    <t>nit_NFLVI</t>
  </si>
  <si>
    <t>nit_FNLVI</t>
  </si>
  <si>
    <t>t_NMAXL</t>
  </si>
  <si>
    <t>t_NMINL</t>
  </si>
  <si>
    <t>t_NSLLV</t>
  </si>
  <si>
    <t>t_NFLV</t>
  </si>
  <si>
    <t>t_NMINSO</t>
  </si>
  <si>
    <t>ANSO</t>
  </si>
  <si>
    <t>ANLV</t>
  </si>
  <si>
    <t>ANST</t>
  </si>
  <si>
    <t>ANLD</t>
  </si>
  <si>
    <t>ANCR</t>
  </si>
  <si>
    <t>N content in leaves</t>
  </si>
  <si>
    <t>N content in stems</t>
  </si>
  <si>
    <t>N content in dead leaf</t>
  </si>
  <si>
    <t>N content in storage organs (grains)</t>
  </si>
  <si>
    <t>ATN</t>
  </si>
  <si>
    <t>max leaf N content</t>
  </si>
  <si>
    <t>min leaf N content</t>
  </si>
  <si>
    <t>min N content in storage organs</t>
  </si>
  <si>
    <t>leaf_N</t>
  </si>
  <si>
    <t>stem_N</t>
  </si>
  <si>
    <t>storage_N</t>
  </si>
  <si>
    <t>dead_N</t>
  </si>
  <si>
    <t>cmmon block Nitro</t>
  </si>
  <si>
    <t>totalplantN</t>
  </si>
  <si>
    <t>total nitrogen in plant, should be analogue to cumulativeNitrogen but gets calculated in the Nitrogen subroutine</t>
  </si>
  <si>
    <t>look up table for relationship of current N per m-2 leaf based on developmental stage</t>
  </si>
  <si>
    <t>root_N</t>
  </si>
  <si>
    <t>grain_N</t>
  </si>
  <si>
    <t>shoot_preN</t>
  </si>
  <si>
    <t>storage_preN</t>
  </si>
  <si>
    <t>NFLVP</t>
  </si>
  <si>
    <t>leaf organ N content</t>
  </si>
  <si>
    <t>stem organ N content</t>
  </si>
  <si>
    <t>root organ N content</t>
  </si>
  <si>
    <t>grain organ N content</t>
  </si>
  <si>
    <t>storage organ N content</t>
  </si>
  <si>
    <t>dead organ N content</t>
  </si>
  <si>
    <t>g N g-1 leaves</t>
  </si>
  <si>
    <t>g N g-1 stems</t>
  </si>
  <si>
    <t>g N g-1 roots</t>
  </si>
  <si>
    <t>g N g-1 grain</t>
  </si>
  <si>
    <t>g N g-1 storage</t>
  </si>
  <si>
    <t>min leaf N fractoin derived from DVS look up table</t>
  </si>
  <si>
    <t>g N g-1 leaf</t>
  </si>
  <si>
    <t>max leaf N fraction derived from DVS look uptable</t>
  </si>
  <si>
    <t>min N fractoin in storage organs based on DVS look up table</t>
  </si>
  <si>
    <t>look uptable of min N fraction based on DVS</t>
  </si>
  <si>
    <t>g  N g-1 leaves</t>
  </si>
  <si>
    <t>look uptable for effect of N stress on senescence rate</t>
  </si>
  <si>
    <t>0 to 2.5</t>
  </si>
  <si>
    <t>look uptable of max N fraction based on DVS</t>
  </si>
  <si>
    <t>look up table for min N in storage organs until flowering</t>
  </si>
  <si>
    <t>amoutn of N in canopy per leaf area  based on DVS look up table</t>
  </si>
  <si>
    <t>leaf_Npool</t>
  </si>
  <si>
    <t>stem_Npool</t>
  </si>
  <si>
    <t>root_Npool</t>
  </si>
  <si>
    <t>grain_Npool</t>
  </si>
  <si>
    <t>storage_Npool</t>
  </si>
  <si>
    <t>dead_Npool</t>
  </si>
  <si>
    <t>leaf organ N content, fraction</t>
  </si>
  <si>
    <t>stem organ N content, fraction</t>
  </si>
  <si>
    <t>root organ N contenet, fraction</t>
  </si>
  <si>
    <t>grain organ N content, fraction</t>
  </si>
  <si>
    <t>storage organ N content, fraction</t>
  </si>
  <si>
    <t>this eqauls storage organ weight - rought rice dry weight</t>
  </si>
  <si>
    <t>this is going to be the integral of GGR</t>
  </si>
  <si>
    <t>this equals WRR/0.86 which reflects the percent moisture content of harvested rice</t>
  </si>
  <si>
    <t xml:space="preserve">this equals 0 until DVS is greater than 0.95 and is set equal to fraction of assimilate supply that is allocated to WSO,  </t>
  </si>
  <si>
    <t>where does WSO go?</t>
  </si>
  <si>
    <t>what is relationship of GGR, WWR and grain number?</t>
  </si>
  <si>
    <t>how is grain mass determined?</t>
  </si>
  <si>
    <t>what is difference in structural stem weight versus stem weight versus stem reserves and do I need to care?</t>
  </si>
  <si>
    <t>Notes on organ growth rates in ORYZA</t>
  </si>
  <si>
    <t>Main organ classes that are directly assigned a growth rate  are roots, leaves, stem, stem reserves, and storage organs</t>
  </si>
  <si>
    <t>After anthesis: occurs when DVS is greater than 0.95.  At this stage grain forms and several additional variables are used to account for these processes</t>
  </si>
  <si>
    <t>However, these other variables are essentially sub-divisions of the storage organ class and thus do not add to the total mass of the plant but rather are individual components of the storage organs</t>
  </si>
  <si>
    <t>these include</t>
  </si>
  <si>
    <t xml:space="preserve">rough rice - grain growth now begins and is set equal to new storage organ growth </t>
  </si>
  <si>
    <t>spikelet husk - this is difference in mass between storage organ and rough rice</t>
  </si>
  <si>
    <t>husk_dw</t>
  </si>
  <si>
    <t xml:space="preserve">after flowering occurs (DVS 0.95) , </t>
  </si>
  <si>
    <t>rough rice (grain) growth starts and is set to same growth rate as storage organs</t>
  </si>
  <si>
    <t>rough rice is a part of the storage organ class so we do NOT account for it seaprately from the storage organ class</t>
  </si>
  <si>
    <t>similary, husk weight, or the spikelet husk, is the difference between storage mass and rough rice and is a subclass of storage organ</t>
  </si>
  <si>
    <t>rough rice growth rate (and thus storage organ) can be reduced if the initial potential growth rate exceeds the sink strength capacity of the spikelets</t>
  </si>
  <si>
    <t>N uptake is based on passive (transpiration stream) and active (MM kinetics) at the root surface</t>
  </si>
  <si>
    <t>There is a linkage with plant N demand that can exert some influence on the active uptake porition</t>
  </si>
  <si>
    <t xml:space="preserve">N demand is then based on fractional N components dervied from look up tables versus DVS as well as current Ns tatus and new growth </t>
  </si>
  <si>
    <t>A series of if/then cases are evaluated based on whether uptake N is sufficient or not to satisfy demand</t>
  </si>
  <si>
    <t>In case of insufficiency, N can be translocated from leaf,stem, root for storage organ demand</t>
  </si>
  <si>
    <t>In case of excess, N can be stored up to a certain N ratio in all organs</t>
  </si>
  <si>
    <t>having issues with N uptake being much less than N in plant, not sure where  yet.</t>
  </si>
  <si>
    <t>N demand in organs goes basically to zero mid-way thru the sim</t>
  </si>
  <si>
    <t>growth is wonky looking</t>
  </si>
  <si>
    <t>LAI/leaf growth does not appear normal, very one-sided peaked plot with limited senescence towards the end of seaosn</t>
  </si>
  <si>
    <t>in ORYZA</t>
  </si>
  <si>
    <t>there is an average specific leaf N content in the canopy based on DVS (NFLVTB)</t>
  </si>
  <si>
    <t>this changes with DVS and can be used to estimate N requirements in the canopy?</t>
  </si>
  <si>
    <t>nitrogen relations</t>
  </si>
  <si>
    <t>light saturated rate of leaf CO2 assimilation (Amax) varies with leaf age, environment, genotype</t>
  </si>
  <si>
    <t>depends on leaf N concent as well where leaf N higher than 0.5 g m-2 versus 0.2 g m-2 shows linearly relationships between and above his range</t>
  </si>
  <si>
    <t xml:space="preserve">also distributes leaf N in the LAI depth </t>
  </si>
  <si>
    <t>that is, the N profile follows exponential pattern in canopy which uses an extinction coefficient which changes on developmentl stage set to 0.4</t>
  </si>
  <si>
    <t>RNSTRS</t>
  </si>
  <si>
    <t>nitrogen stress factor on relative leaf growth rate</t>
  </si>
  <si>
    <t>lf_N_gro</t>
  </si>
  <si>
    <t>NSTRES</t>
  </si>
  <si>
    <t>N stress factor on leaf senescence</t>
  </si>
  <si>
    <t>lf_N_sen</t>
  </si>
  <si>
    <t>ANCRPT</t>
  </si>
  <si>
    <t>potential above ground leaf N content?</t>
  </si>
  <si>
    <t>current N in the plant (storage + leaf + dead + stem) NOT root!</t>
  </si>
  <si>
    <t>fraction N content of leaves</t>
  </si>
  <si>
    <t>fraction N content of stem (0.5*NFLV)</t>
  </si>
  <si>
    <t>g N g-1 deadlf</t>
  </si>
  <si>
    <t>includes roots</t>
  </si>
  <si>
    <t>0 to 2</t>
  </si>
  <si>
    <t>table look up for NSTRES on leaf senescence rate</t>
  </si>
  <si>
    <t>t_NSLLVT</t>
  </si>
  <si>
    <t>current leaf N content fraction</t>
  </si>
  <si>
    <t>kg N kg-1leaf</t>
  </si>
  <si>
    <t>nitrogen stress</t>
  </si>
  <si>
    <t>In ORYZA</t>
  </si>
  <si>
    <t>there are three N stresses, or N status influences, on the plant</t>
  </si>
  <si>
    <t>Two are true stresses in that the deficiency of such reduces leaf area expansion and increases senescence weight</t>
  </si>
  <si>
    <t>There is no C allocation adjustment at this time</t>
  </si>
  <si>
    <t>The third influence is the relationshp of leaf N content and Pmax as indicated avove</t>
  </si>
  <si>
    <t>in RICESIM</t>
  </si>
  <si>
    <t>We follow similar approach with following adjustments</t>
  </si>
  <si>
    <t>NSTRES on senescence rate and leaf growth rate is the ratio of availableN versus Ndemand, and scaled from 0 to 2</t>
  </si>
  <si>
    <t>leaf N influence on Pmax is averaged among the canopy for either shaded or sunlit leaf</t>
  </si>
  <si>
    <t>nitrogen uptake and allocation</t>
  </si>
  <si>
    <t>will need to evaluate N allocation components but appears functoinal for now</t>
  </si>
  <si>
    <t>there is no affect of W stress on leaf senescence</t>
  </si>
  <si>
    <t>in ORYZAE there is no affect of W stress on leaf senescence</t>
  </si>
  <si>
    <t>total N content in plants?</t>
  </si>
  <si>
    <t>min</t>
  </si>
  <si>
    <t>max</t>
  </si>
  <si>
    <t>stress</t>
  </si>
  <si>
    <t>leafN</t>
  </si>
  <si>
    <t>minL</t>
  </si>
  <si>
    <t>maxL</t>
  </si>
  <si>
    <t>added leaf senescence increase</t>
  </si>
  <si>
    <t>added leaf expansion decrease</t>
  </si>
  <si>
    <t>may be associated with dynamically varying SLA with DVS, seem too high at stages?</t>
  </si>
  <si>
    <t>to date, this is implemented as above by reducing Vcmax based on normalized response (see spreadsheet under improvements folder) from 0 to 1</t>
  </si>
  <si>
    <t>minimum Vcmax is set to 10% of max value at leaf N &lt; than 0.2 g m-2 or so while max occurs at 2 g N m-2</t>
  </si>
  <si>
    <t>eventually I need to distribute N among sunlit / shaded LAI</t>
  </si>
  <si>
    <t>added N effect on photosynthesis by reducing Vcmax from 100 to 10% based on leaf N content per unit leaf area</t>
  </si>
  <si>
    <t>see notes in code and in this worksheet under routines as well as improvement spreadsheet, needs testing</t>
  </si>
  <si>
    <t>functional, should be tested</t>
  </si>
  <si>
    <t>N fraction in leaf area bases (specific leaf nitrogen)</t>
  </si>
  <si>
    <t>August</t>
  </si>
  <si>
    <t>Fix leaf area growth</t>
  </si>
  <si>
    <t>right now, surplus N goes into leaf pool , need to develop better approach, perhaps keep in root?</t>
  </si>
  <si>
    <t>can be reducd by N and W</t>
  </si>
  <si>
    <t>this seems too slow</t>
  </si>
  <si>
    <t>prior to LAI of 1, growth is based only on heat units and leaf expansion rate, and adds to current LAI</t>
  </si>
  <si>
    <t>after LAI 1, growth is then SLA driven and is a function of greenlf_dw and SLA</t>
  </si>
  <si>
    <t>this seems a bit too fast</t>
  </si>
  <si>
    <t>however, the real problem is right after DVS hits 1.0:</t>
  </si>
  <si>
    <t>no longer any allocation to leaf, this could be okay</t>
  </si>
  <si>
    <t>but leaf senescence is too large</t>
  </si>
  <si>
    <t>senescence is based on</t>
  </si>
  <si>
    <t>leaf death coefficient which is a decline rate (fraction per hour) that is DVS dependent</t>
  </si>
  <si>
    <t>this gets modified by greenlf_wt and any N stress</t>
  </si>
  <si>
    <t>shaded response when LAI exceeds a threshold of 4</t>
  </si>
  <si>
    <t>it seem sliiek the leaf death coefficient is too large</t>
  </si>
  <si>
    <t>at the same time, SLA is actually increasing which sort of counters loss in leaf area due to grn leaf dm</t>
  </si>
  <si>
    <t>Rmaintenance costs keep adding up as well</t>
  </si>
  <si>
    <t>Looks like the leaf death coeff approach is the problem, not sure I need to reparameterize or us a different approach</t>
  </si>
  <si>
    <t>also, time accuulation (e.g. DVS) appears to be running too slow as well, may be result of moving to hourly time-step, may want to keep min/max values and see if that makes a difference</t>
  </si>
  <si>
    <t>maybe first step is to get leaf dry weight pattern fixed</t>
  </si>
  <si>
    <t>could be more based on my DVS variety file parameter values…and CHO fractional allocations shifts</t>
  </si>
  <si>
    <t>Need to start testing with measured experimental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</si>
</sst>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E+00"/>
  </numFmts>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quotePrefix="1"/>
    <xf numFmtId="0" fontId="0" fillId="2" borderId="0" xfId="0" applyFill="1"/>
    <xf numFmtId="0" fontId="0" fillId="3" borderId="0" xfId="0" applyFill="1"/>
    <xf numFmtId="0" fontId="0" fillId="3" borderId="0" xfId="0" quotePrefix="1" applyFill="1"/>
    <xf numFmtId="11" fontId="0" fillId="0" borderId="0" xfId="0" applyNumberFormat="1"/>
    <xf numFmtId="164" fontId="0" fillId="0" borderId="0" xfId="0" applyNumberFormat="1"/>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3A974DBE-0BF7-4425-92B3-7ABAB4F6F851}">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209550</xdr:colOff>
      <xdr:row>98</xdr:row>
      <xdr:rowOff>131577</xdr:rowOff>
    </xdr:from>
    <xdr:to>
      <xdr:col>1</xdr:col>
      <xdr:colOff>2270014</xdr:colOff>
      <xdr:row>107</xdr:row>
      <xdr:rowOff>21956</xdr:rowOff>
    </xdr:to>
    <xdr:pic>
      <xdr:nvPicPr>
        <xdr:cNvPr id="2" name="Picture 1">
          <a:extLst>
            <a:ext uri="{FF2B5EF4-FFF2-40B4-BE49-F238E27FC236}">
              <a16:creationId xmlns:a16="http://schemas.microsoft.com/office/drawing/2014/main" id="{664BF205-CF87-C098-1597-AFE47257E40F}"/>
            </a:ext>
          </a:extLst>
        </xdr:cNvPr>
        <xdr:cNvPicPr>
          <a:picLocks noChangeAspect="1"/>
        </xdr:cNvPicPr>
      </xdr:nvPicPr>
      <xdr:blipFill>
        <a:blip xmlns:r="http://schemas.openxmlformats.org/officeDocument/2006/relationships" r:embed="rId1"/>
        <a:stretch>
          <a:fillRect/>
        </a:stretch>
      </xdr:blipFill>
      <xdr:spPr>
        <a:xfrm>
          <a:off x="209550" y="18800577"/>
          <a:ext cx="2670064" cy="16048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304800</xdr:colOff>
      <xdr:row>45</xdr:row>
      <xdr:rowOff>67029</xdr:rowOff>
    </xdr:from>
    <xdr:to>
      <xdr:col>16</xdr:col>
      <xdr:colOff>333376</xdr:colOff>
      <xdr:row>50</xdr:row>
      <xdr:rowOff>92287</xdr:rowOff>
    </xdr:to>
    <xdr:pic>
      <xdr:nvPicPr>
        <xdr:cNvPr id="2" name="Picture 1">
          <a:extLst>
            <a:ext uri="{FF2B5EF4-FFF2-40B4-BE49-F238E27FC236}">
              <a16:creationId xmlns:a16="http://schemas.microsoft.com/office/drawing/2014/main" id="{8AEBAF31-B2D2-A9C3-5BA6-DEEC92BF5EA0}"/>
            </a:ext>
          </a:extLst>
        </xdr:cNvPr>
        <xdr:cNvPicPr>
          <a:picLocks noChangeAspect="1"/>
        </xdr:cNvPicPr>
      </xdr:nvPicPr>
      <xdr:blipFill>
        <a:blip xmlns:r="http://schemas.openxmlformats.org/officeDocument/2006/relationships" r:embed="rId1"/>
        <a:stretch>
          <a:fillRect/>
        </a:stretch>
      </xdr:blipFill>
      <xdr:spPr>
        <a:xfrm>
          <a:off x="8229600" y="8449029"/>
          <a:ext cx="1857376" cy="977758"/>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26015-E193-44E3-89FD-C8119614F84B}">
  <dimension ref="A1:H148"/>
  <sheetViews>
    <sheetView topLeftCell="A118" workbookViewId="0">
      <selection activeCell="C136" sqref="C136"/>
    </sheetView>
  </sheetViews>
  <sheetFormatPr defaultRowHeight="15" x14ac:dyDescent="0.25"/>
  <cols>
    <col min="2" max="2" width="14.5703125" customWidth="1"/>
    <col min="3" max="3" width="69" customWidth="1"/>
    <col min="4" max="4" width="18.7109375" customWidth="1"/>
    <col min="6" max="6" width="25.5703125" customWidth="1"/>
    <col min="7" max="7" width="14.85546875" customWidth="1"/>
  </cols>
  <sheetData>
    <row r="1" spans="1:8" x14ac:dyDescent="0.25">
      <c r="A1" t="s">
        <v>0</v>
      </c>
    </row>
    <row r="3" spans="1:8" x14ac:dyDescent="0.25">
      <c r="B3" t="s">
        <v>1</v>
      </c>
      <c r="C3" t="s">
        <v>2</v>
      </c>
      <c r="D3" t="s">
        <v>3</v>
      </c>
      <c r="F3" t="s">
        <v>4</v>
      </c>
      <c r="G3" t="s">
        <v>3</v>
      </c>
      <c r="H3" t="s">
        <v>5</v>
      </c>
    </row>
    <row r="4" spans="1:8" x14ac:dyDescent="0.25">
      <c r="B4" t="s">
        <v>999</v>
      </c>
      <c r="C4" t="s">
        <v>1101</v>
      </c>
      <c r="D4" t="s">
        <v>935</v>
      </c>
      <c r="F4" t="s">
        <v>1013</v>
      </c>
      <c r="G4" t="s">
        <v>510</v>
      </c>
      <c r="H4" t="s">
        <v>1105</v>
      </c>
    </row>
    <row r="5" spans="1:8" x14ac:dyDescent="0.25">
      <c r="B5" t="s">
        <v>1099</v>
      </c>
      <c r="C5" t="s">
        <v>1100</v>
      </c>
      <c r="D5" t="s">
        <v>510</v>
      </c>
    </row>
    <row r="6" spans="1:8" x14ac:dyDescent="0.25">
      <c r="B6" t="s">
        <v>998</v>
      </c>
      <c r="C6" t="s">
        <v>1002</v>
      </c>
      <c r="D6" t="s">
        <v>935</v>
      </c>
      <c r="F6" t="s">
        <v>1048</v>
      </c>
    </row>
    <row r="7" spans="1:8" x14ac:dyDescent="0.25">
      <c r="B7" t="s">
        <v>996</v>
      </c>
      <c r="C7" t="s">
        <v>1000</v>
      </c>
      <c r="D7" t="s">
        <v>935</v>
      </c>
      <c r="F7" t="s">
        <v>1043</v>
      </c>
      <c r="G7" t="s">
        <v>510</v>
      </c>
    </row>
    <row r="8" spans="1:8" x14ac:dyDescent="0.25">
      <c r="B8" t="s">
        <v>995</v>
      </c>
      <c r="C8" t="s">
        <v>1003</v>
      </c>
      <c r="D8" t="s">
        <v>935</v>
      </c>
      <c r="F8" t="s">
        <v>1047</v>
      </c>
      <c r="G8" t="s">
        <v>510</v>
      </c>
    </row>
    <row r="9" spans="1:8" x14ac:dyDescent="0.25">
      <c r="B9" t="s">
        <v>997</v>
      </c>
      <c r="C9" t="s">
        <v>1001</v>
      </c>
      <c r="D9" t="s">
        <v>935</v>
      </c>
      <c r="F9" t="s">
        <v>1044</v>
      </c>
      <c r="G9" t="s">
        <v>510</v>
      </c>
    </row>
    <row r="10" spans="1:8" x14ac:dyDescent="0.25">
      <c r="B10" t="s">
        <v>1004</v>
      </c>
      <c r="C10" t="s">
        <v>1125</v>
      </c>
    </row>
    <row r="11" spans="1:8" x14ac:dyDescent="0.25">
      <c r="B11" t="s">
        <v>457</v>
      </c>
      <c r="C11" t="s">
        <v>458</v>
      </c>
      <c r="D11" t="s">
        <v>459</v>
      </c>
      <c r="F11" t="s">
        <v>457</v>
      </c>
      <c r="G11" t="s">
        <v>459</v>
      </c>
    </row>
    <row r="12" spans="1:8" x14ac:dyDescent="0.25">
      <c r="B12" t="s">
        <v>29</v>
      </c>
      <c r="C12" t="s">
        <v>30</v>
      </c>
      <c r="D12" s="1" t="s">
        <v>10</v>
      </c>
    </row>
    <row r="13" spans="1:8" x14ac:dyDescent="0.25">
      <c r="B13" t="s">
        <v>264</v>
      </c>
      <c r="C13" t="s">
        <v>269</v>
      </c>
      <c r="D13" t="s">
        <v>273</v>
      </c>
      <c r="F13" t="s">
        <v>280</v>
      </c>
      <c r="G13" t="s">
        <v>284</v>
      </c>
    </row>
    <row r="14" spans="1:8" x14ac:dyDescent="0.25">
      <c r="B14" t="s">
        <v>263</v>
      </c>
      <c r="C14" t="s">
        <v>268</v>
      </c>
      <c r="D14" t="s">
        <v>273</v>
      </c>
      <c r="F14" t="s">
        <v>279</v>
      </c>
      <c r="G14" t="s">
        <v>284</v>
      </c>
    </row>
    <row r="15" spans="1:8" x14ac:dyDescent="0.25">
      <c r="B15" t="s">
        <v>266</v>
      </c>
      <c r="C15" t="s">
        <v>271</v>
      </c>
      <c r="D15" t="s">
        <v>273</v>
      </c>
      <c r="F15" t="s">
        <v>282</v>
      </c>
      <c r="G15" t="s">
        <v>284</v>
      </c>
    </row>
    <row r="16" spans="1:8" x14ac:dyDescent="0.25">
      <c r="B16" t="s">
        <v>265</v>
      </c>
      <c r="C16" t="s">
        <v>270</v>
      </c>
      <c r="D16" t="s">
        <v>273</v>
      </c>
      <c r="F16" t="s">
        <v>281</v>
      </c>
      <c r="G16" t="s">
        <v>284</v>
      </c>
    </row>
    <row r="17" spans="2:8" x14ac:dyDescent="0.25">
      <c r="B17" t="s">
        <v>267</v>
      </c>
      <c r="C17" t="s">
        <v>272</v>
      </c>
      <c r="D17" t="s">
        <v>273</v>
      </c>
      <c r="F17" t="s">
        <v>283</v>
      </c>
      <c r="G17" t="s">
        <v>284</v>
      </c>
      <c r="H17" t="s">
        <v>378</v>
      </c>
    </row>
    <row r="18" spans="2:8" x14ac:dyDescent="0.25">
      <c r="B18" t="s">
        <v>27</v>
      </c>
      <c r="C18" t="s">
        <v>28</v>
      </c>
      <c r="D18" s="1" t="s">
        <v>10</v>
      </c>
      <c r="F18" t="s">
        <v>27</v>
      </c>
    </row>
    <row r="19" spans="2:8" x14ac:dyDescent="0.25">
      <c r="B19" t="s">
        <v>235</v>
      </c>
      <c r="C19" t="s">
        <v>321</v>
      </c>
      <c r="D19" t="s">
        <v>236</v>
      </c>
      <c r="F19" t="s">
        <v>308</v>
      </c>
      <c r="G19" t="s">
        <v>307</v>
      </c>
    </row>
    <row r="20" spans="2:8" x14ac:dyDescent="0.25">
      <c r="B20" t="s">
        <v>289</v>
      </c>
      <c r="C20" t="s">
        <v>309</v>
      </c>
      <c r="D20" t="s">
        <v>310</v>
      </c>
      <c r="F20" t="s">
        <v>311</v>
      </c>
      <c r="G20" t="s">
        <v>312</v>
      </c>
    </row>
    <row r="21" spans="2:8" x14ac:dyDescent="0.25">
      <c r="B21" t="s">
        <v>25</v>
      </c>
      <c r="C21" t="s">
        <v>26</v>
      </c>
      <c r="D21" s="1" t="s">
        <v>10</v>
      </c>
      <c r="F21" t="s">
        <v>25</v>
      </c>
    </row>
    <row r="22" spans="2:8" x14ac:dyDescent="0.25">
      <c r="B22" t="s">
        <v>329</v>
      </c>
      <c r="C22" t="s">
        <v>330</v>
      </c>
    </row>
    <row r="23" spans="2:8" x14ac:dyDescent="0.25">
      <c r="B23" t="s">
        <v>682</v>
      </c>
      <c r="C23" t="s">
        <v>684</v>
      </c>
    </row>
    <row r="24" spans="2:8" x14ac:dyDescent="0.25">
      <c r="B24" t="s">
        <v>470</v>
      </c>
      <c r="C24" t="s">
        <v>474</v>
      </c>
      <c r="F24" t="s">
        <v>470</v>
      </c>
    </row>
    <row r="25" spans="2:8" x14ac:dyDescent="0.25">
      <c r="B25" t="s">
        <v>471</v>
      </c>
      <c r="C25" t="s">
        <v>475</v>
      </c>
      <c r="F25" t="s">
        <v>471</v>
      </c>
    </row>
    <row r="26" spans="2:8" x14ac:dyDescent="0.25">
      <c r="B26" t="s">
        <v>13</v>
      </c>
      <c r="C26" t="s">
        <v>16</v>
      </c>
      <c r="D26" s="1" t="s">
        <v>10</v>
      </c>
      <c r="F26" t="s">
        <v>73</v>
      </c>
    </row>
    <row r="27" spans="2:8" x14ac:dyDescent="0.25">
      <c r="B27" t="s">
        <v>19</v>
      </c>
      <c r="C27" t="s">
        <v>22</v>
      </c>
      <c r="D27" s="1" t="s">
        <v>10</v>
      </c>
      <c r="F27" t="s">
        <v>74</v>
      </c>
    </row>
    <row r="28" spans="2:8" x14ac:dyDescent="0.25">
      <c r="B28" t="s">
        <v>947</v>
      </c>
      <c r="C28" t="s">
        <v>1109</v>
      </c>
      <c r="D28" t="s">
        <v>1110</v>
      </c>
      <c r="F28" t="s">
        <v>1008</v>
      </c>
      <c r="G28" t="s">
        <v>1033</v>
      </c>
    </row>
    <row r="29" spans="2:8" x14ac:dyDescent="0.25">
      <c r="B29" t="s">
        <v>968</v>
      </c>
      <c r="C29" t="s">
        <v>969</v>
      </c>
      <c r="D29" t="s">
        <v>930</v>
      </c>
      <c r="F29" t="s">
        <v>989</v>
      </c>
      <c r="H29" t="s">
        <v>954</v>
      </c>
    </row>
    <row r="30" spans="2:8" x14ac:dyDescent="0.25">
      <c r="B30" t="s">
        <v>958</v>
      </c>
      <c r="C30" t="s">
        <v>959</v>
      </c>
      <c r="D30" s="1" t="s">
        <v>10</v>
      </c>
      <c r="F30" t="s">
        <v>985</v>
      </c>
      <c r="H30" t="s">
        <v>954</v>
      </c>
    </row>
    <row r="31" spans="2:8" x14ac:dyDescent="0.25">
      <c r="B31" t="s">
        <v>960</v>
      </c>
      <c r="C31" t="s">
        <v>961</v>
      </c>
      <c r="D31" t="s">
        <v>962</v>
      </c>
      <c r="F31" t="s">
        <v>986</v>
      </c>
      <c r="H31" t="s">
        <v>954</v>
      </c>
    </row>
    <row r="32" spans="2:8" x14ac:dyDescent="0.25">
      <c r="B32" t="s">
        <v>6</v>
      </c>
      <c r="C32" t="s">
        <v>8</v>
      </c>
      <c r="D32" s="1" t="s">
        <v>10</v>
      </c>
      <c r="F32" t="s">
        <v>70</v>
      </c>
    </row>
    <row r="33" spans="2:7" x14ac:dyDescent="0.25">
      <c r="B33" t="s">
        <v>7</v>
      </c>
      <c r="C33" t="s">
        <v>9</v>
      </c>
      <c r="D33" s="1" t="s">
        <v>10</v>
      </c>
      <c r="F33" t="s">
        <v>416</v>
      </c>
    </row>
    <row r="34" spans="2:7" x14ac:dyDescent="0.25">
      <c r="B34" t="s">
        <v>11</v>
      </c>
      <c r="C34" t="s">
        <v>12</v>
      </c>
      <c r="D34" s="1" t="s">
        <v>10</v>
      </c>
      <c r="F34" t="s">
        <v>75</v>
      </c>
    </row>
    <row r="35" spans="2:7" x14ac:dyDescent="0.25">
      <c r="B35" t="s">
        <v>15</v>
      </c>
      <c r="C35" t="s">
        <v>18</v>
      </c>
      <c r="D35" s="1" t="s">
        <v>10</v>
      </c>
      <c r="F35" t="s">
        <v>71</v>
      </c>
    </row>
    <row r="36" spans="2:7" x14ac:dyDescent="0.25">
      <c r="B36" t="s">
        <v>21</v>
      </c>
      <c r="C36" t="s">
        <v>24</v>
      </c>
      <c r="D36" s="1" t="s">
        <v>10</v>
      </c>
      <c r="F36" t="s">
        <v>76</v>
      </c>
    </row>
    <row r="37" spans="2:7" x14ac:dyDescent="0.25">
      <c r="B37" t="s">
        <v>14</v>
      </c>
      <c r="C37" t="s">
        <v>17</v>
      </c>
      <c r="D37" s="1" t="s">
        <v>10</v>
      </c>
      <c r="F37" t="s">
        <v>72</v>
      </c>
    </row>
    <row r="38" spans="2:7" x14ac:dyDescent="0.25">
      <c r="B38" t="s">
        <v>67</v>
      </c>
      <c r="C38" t="s">
        <v>68</v>
      </c>
      <c r="D38" s="1" t="s">
        <v>10</v>
      </c>
      <c r="F38" t="s">
        <v>419</v>
      </c>
    </row>
    <row r="39" spans="2:7" x14ac:dyDescent="0.25">
      <c r="B39" t="s">
        <v>20</v>
      </c>
      <c r="C39" t="s">
        <v>23</v>
      </c>
      <c r="D39" s="1" t="s">
        <v>10</v>
      </c>
      <c r="F39" t="s">
        <v>77</v>
      </c>
    </row>
    <row r="40" spans="2:7" x14ac:dyDescent="0.25">
      <c r="B40" t="s">
        <v>182</v>
      </c>
      <c r="C40" t="s">
        <v>183</v>
      </c>
      <c r="D40" t="s">
        <v>184</v>
      </c>
      <c r="F40" t="s">
        <v>185</v>
      </c>
    </row>
    <row r="41" spans="2:7" x14ac:dyDescent="0.25">
      <c r="B41" t="s">
        <v>436</v>
      </c>
      <c r="C41" t="s">
        <v>437</v>
      </c>
      <c r="D41" t="s">
        <v>432</v>
      </c>
      <c r="F41" t="s">
        <v>443</v>
      </c>
      <c r="G41" t="s">
        <v>262</v>
      </c>
    </row>
    <row r="42" spans="2:7" x14ac:dyDescent="0.25">
      <c r="B42" t="s">
        <v>214</v>
      </c>
      <c r="C42" t="s">
        <v>215</v>
      </c>
      <c r="F42" t="s">
        <v>243</v>
      </c>
    </row>
    <row r="43" spans="2:7" x14ac:dyDescent="0.25">
      <c r="B43" t="s">
        <v>430</v>
      </c>
      <c r="C43" t="s">
        <v>431</v>
      </c>
      <c r="D43" t="s">
        <v>432</v>
      </c>
      <c r="F43" t="s">
        <v>433</v>
      </c>
    </row>
    <row r="44" spans="2:7" x14ac:dyDescent="0.25">
      <c r="B44" t="s">
        <v>411</v>
      </c>
      <c r="C44" t="s">
        <v>943</v>
      </c>
      <c r="D44" t="s">
        <v>412</v>
      </c>
      <c r="F44" t="s">
        <v>413</v>
      </c>
      <c r="G44" t="s">
        <v>402</v>
      </c>
    </row>
    <row r="45" spans="2:7" x14ac:dyDescent="0.25">
      <c r="B45" t="s">
        <v>399</v>
      </c>
      <c r="C45" t="s">
        <v>400</v>
      </c>
      <c r="D45" t="s">
        <v>401</v>
      </c>
      <c r="F45" t="s">
        <v>414</v>
      </c>
      <c r="G45" t="s">
        <v>402</v>
      </c>
    </row>
    <row r="46" spans="2:7" x14ac:dyDescent="0.25">
      <c r="B46" t="s">
        <v>391</v>
      </c>
      <c r="C46" t="s">
        <v>392</v>
      </c>
      <c r="D46" t="s">
        <v>393</v>
      </c>
      <c r="F46" t="s">
        <v>394</v>
      </c>
      <c r="G46" t="s">
        <v>395</v>
      </c>
    </row>
    <row r="47" spans="2:7" x14ac:dyDescent="0.25">
      <c r="B47" t="s">
        <v>56</v>
      </c>
      <c r="C47" t="s">
        <v>57</v>
      </c>
      <c r="D47" t="s">
        <v>50</v>
      </c>
      <c r="F47" t="s">
        <v>89</v>
      </c>
      <c r="G47" t="s">
        <v>244</v>
      </c>
    </row>
    <row r="48" spans="2:7" x14ac:dyDescent="0.25">
      <c r="B48" t="s">
        <v>58</v>
      </c>
      <c r="C48" t="s">
        <v>59</v>
      </c>
      <c r="D48" t="s">
        <v>51</v>
      </c>
      <c r="F48" t="s">
        <v>90</v>
      </c>
      <c r="G48" t="s">
        <v>244</v>
      </c>
    </row>
    <row r="49" spans="1:8" x14ac:dyDescent="0.25">
      <c r="B49" t="s">
        <v>60</v>
      </c>
      <c r="C49" t="s">
        <v>61</v>
      </c>
      <c r="D49" t="s">
        <v>50</v>
      </c>
      <c r="F49" t="s">
        <v>91</v>
      </c>
      <c r="G49" t="s">
        <v>244</v>
      </c>
    </row>
    <row r="50" spans="1:8" x14ac:dyDescent="0.25">
      <c r="B50" t="s">
        <v>62</v>
      </c>
      <c r="C50" t="s">
        <v>63</v>
      </c>
      <c r="D50" t="s">
        <v>50</v>
      </c>
      <c r="F50" t="s">
        <v>92</v>
      </c>
      <c r="G50" t="s">
        <v>244</v>
      </c>
      <c r="H50" t="s">
        <v>288</v>
      </c>
    </row>
    <row r="51" spans="1:8" x14ac:dyDescent="0.25">
      <c r="B51" t="s">
        <v>41</v>
      </c>
      <c r="C51" t="s">
        <v>64</v>
      </c>
      <c r="D51" t="s">
        <v>51</v>
      </c>
      <c r="F51" t="s">
        <v>93</v>
      </c>
      <c r="G51" t="s">
        <v>244</v>
      </c>
    </row>
    <row r="52" spans="1:8" x14ac:dyDescent="0.25">
      <c r="B52" t="s">
        <v>65</v>
      </c>
      <c r="C52" t="s">
        <v>66</v>
      </c>
      <c r="D52" t="s">
        <v>50</v>
      </c>
      <c r="F52" t="s">
        <v>88</v>
      </c>
      <c r="G52" t="s">
        <v>244</v>
      </c>
    </row>
    <row r="53" spans="1:8" x14ac:dyDescent="0.25">
      <c r="B53" t="s">
        <v>216</v>
      </c>
      <c r="C53" t="s">
        <v>285</v>
      </c>
      <c r="D53" t="s">
        <v>286</v>
      </c>
      <c r="F53" t="s">
        <v>240</v>
      </c>
      <c r="G53" t="s">
        <v>287</v>
      </c>
    </row>
    <row r="54" spans="1:8" x14ac:dyDescent="0.25">
      <c r="B54" t="s">
        <v>315</v>
      </c>
      <c r="C54" t="s">
        <v>316</v>
      </c>
      <c r="D54" t="s">
        <v>169</v>
      </c>
      <c r="F54" t="s">
        <v>317</v>
      </c>
      <c r="G54" t="s">
        <v>169</v>
      </c>
    </row>
    <row r="55" spans="1:8" x14ac:dyDescent="0.25">
      <c r="A55" t="s">
        <v>591</v>
      </c>
      <c r="B55" t="s">
        <v>596</v>
      </c>
      <c r="C55" t="s">
        <v>598</v>
      </c>
    </row>
    <row r="56" spans="1:8" x14ac:dyDescent="0.25">
      <c r="A56" t="s">
        <v>591</v>
      </c>
      <c r="B56" t="s">
        <v>592</v>
      </c>
      <c r="C56" t="s">
        <v>594</v>
      </c>
    </row>
    <row r="57" spans="1:8" x14ac:dyDescent="0.25">
      <c r="B57" t="s">
        <v>32</v>
      </c>
      <c r="C57" t="s">
        <v>35</v>
      </c>
    </row>
    <row r="58" spans="1:8" x14ac:dyDescent="0.25">
      <c r="B58" t="s">
        <v>33</v>
      </c>
      <c r="C58" t="s">
        <v>217</v>
      </c>
      <c r="D58" s="1" t="s">
        <v>924</v>
      </c>
      <c r="F58" t="s">
        <v>925</v>
      </c>
      <c r="G58" t="s">
        <v>926</v>
      </c>
    </row>
    <row r="59" spans="1:8" x14ac:dyDescent="0.25">
      <c r="B59" t="s">
        <v>37</v>
      </c>
      <c r="C59" t="s">
        <v>291</v>
      </c>
      <c r="D59" t="s">
        <v>299</v>
      </c>
      <c r="F59" t="s">
        <v>301</v>
      </c>
      <c r="G59" t="s">
        <v>300</v>
      </c>
    </row>
    <row r="60" spans="1:8" x14ac:dyDescent="0.25">
      <c r="B60" t="s">
        <v>318</v>
      </c>
      <c r="C60" t="s">
        <v>319</v>
      </c>
      <c r="F60" t="s">
        <v>320</v>
      </c>
    </row>
    <row r="61" spans="1:8" x14ac:dyDescent="0.25">
      <c r="B61" t="s">
        <v>31</v>
      </c>
      <c r="C61" t="s">
        <v>34</v>
      </c>
    </row>
    <row r="62" spans="1:8" x14ac:dyDescent="0.25">
      <c r="B62" t="s">
        <v>36</v>
      </c>
      <c r="C62" t="s">
        <v>290</v>
      </c>
      <c r="F62" t="s">
        <v>303</v>
      </c>
      <c r="G62" t="s">
        <v>304</v>
      </c>
    </row>
    <row r="63" spans="1:8" x14ac:dyDescent="0.25">
      <c r="B63" t="s">
        <v>253</v>
      </c>
      <c r="C63" t="s">
        <v>257</v>
      </c>
      <c r="D63" t="s">
        <v>261</v>
      </c>
      <c r="F63" t="s">
        <v>275</v>
      </c>
      <c r="G63" t="s">
        <v>274</v>
      </c>
      <c r="H63" t="s">
        <v>378</v>
      </c>
    </row>
    <row r="64" spans="1:8" x14ac:dyDescent="0.25">
      <c r="B64" t="s">
        <v>256</v>
      </c>
      <c r="C64" t="s">
        <v>260</v>
      </c>
      <c r="D64" t="s">
        <v>261</v>
      </c>
      <c r="F64" t="s">
        <v>278</v>
      </c>
      <c r="G64" t="s">
        <v>274</v>
      </c>
      <c r="H64" t="s">
        <v>377</v>
      </c>
    </row>
    <row r="65" spans="2:8" x14ac:dyDescent="0.25">
      <c r="B65" t="s">
        <v>255</v>
      </c>
      <c r="C65" t="s">
        <v>259</v>
      </c>
      <c r="D65" t="s">
        <v>261</v>
      </c>
      <c r="F65" t="s">
        <v>277</v>
      </c>
      <c r="G65" t="s">
        <v>274</v>
      </c>
    </row>
    <row r="66" spans="2:8" x14ac:dyDescent="0.25">
      <c r="B66" t="s">
        <v>254</v>
      </c>
      <c r="C66" t="s">
        <v>258</v>
      </c>
      <c r="D66" t="s">
        <v>261</v>
      </c>
      <c r="F66" t="s">
        <v>276</v>
      </c>
      <c r="G66" t="s">
        <v>274</v>
      </c>
    </row>
    <row r="67" spans="2:8" x14ac:dyDescent="0.25">
      <c r="B67" t="s">
        <v>934</v>
      </c>
      <c r="C67" t="s">
        <v>940</v>
      </c>
      <c r="D67" t="s">
        <v>935</v>
      </c>
    </row>
    <row r="68" spans="2:8" x14ac:dyDescent="0.25">
      <c r="B68" t="s">
        <v>674</v>
      </c>
      <c r="C68" t="s">
        <v>677</v>
      </c>
      <c r="D68" t="s">
        <v>340</v>
      </c>
    </row>
    <row r="69" spans="2:8" x14ac:dyDescent="0.25">
      <c r="B69" t="s">
        <v>929</v>
      </c>
      <c r="C69" t="s">
        <v>1102</v>
      </c>
      <c r="D69" t="s">
        <v>930</v>
      </c>
      <c r="F69" t="s">
        <v>1008</v>
      </c>
    </row>
    <row r="70" spans="2:8" x14ac:dyDescent="0.25">
      <c r="B70" t="s">
        <v>326</v>
      </c>
      <c r="C70" t="s">
        <v>327</v>
      </c>
      <c r="D70" t="s">
        <v>328</v>
      </c>
      <c r="F70" t="s">
        <v>326</v>
      </c>
      <c r="G70" t="s">
        <v>328</v>
      </c>
    </row>
    <row r="71" spans="2:8" x14ac:dyDescent="0.25">
      <c r="B71" t="s">
        <v>932</v>
      </c>
      <c r="C71" t="s">
        <v>1103</v>
      </c>
      <c r="D71" t="s">
        <v>933</v>
      </c>
      <c r="F71" t="s">
        <v>1009</v>
      </c>
    </row>
    <row r="72" spans="2:8" x14ac:dyDescent="0.25">
      <c r="B72" t="s">
        <v>928</v>
      </c>
      <c r="C72" t="s">
        <v>1141</v>
      </c>
      <c r="D72" t="s">
        <v>931</v>
      </c>
    </row>
    <row r="74" spans="2:8" x14ac:dyDescent="0.25">
      <c r="B74" t="s">
        <v>966</v>
      </c>
      <c r="C74" t="s">
        <v>967</v>
      </c>
      <c r="D74" t="s">
        <v>931</v>
      </c>
      <c r="F74" t="s">
        <v>988</v>
      </c>
      <c r="H74" t="s">
        <v>954</v>
      </c>
    </row>
    <row r="75" spans="2:8" x14ac:dyDescent="0.25">
      <c r="B75" t="s">
        <v>948</v>
      </c>
      <c r="C75" t="s">
        <v>949</v>
      </c>
      <c r="D75" t="s">
        <v>950</v>
      </c>
      <c r="F75" t="s">
        <v>993</v>
      </c>
      <c r="H75" t="s">
        <v>954</v>
      </c>
    </row>
    <row r="76" spans="2:8" x14ac:dyDescent="0.25">
      <c r="B76" t="s">
        <v>339</v>
      </c>
      <c r="C76" t="s">
        <v>942</v>
      </c>
      <c r="D76" t="s">
        <v>340</v>
      </c>
      <c r="F76" t="s">
        <v>341</v>
      </c>
      <c r="G76" t="s">
        <v>342</v>
      </c>
    </row>
    <row r="77" spans="2:8" x14ac:dyDescent="0.25">
      <c r="B77" t="s">
        <v>225</v>
      </c>
      <c r="C77" t="s">
        <v>226</v>
      </c>
      <c r="D77" t="s">
        <v>231</v>
      </c>
      <c r="F77" t="s">
        <v>234</v>
      </c>
      <c r="G77" t="s">
        <v>231</v>
      </c>
    </row>
    <row r="78" spans="2:8" x14ac:dyDescent="0.25">
      <c r="B78" t="s">
        <v>945</v>
      </c>
      <c r="C78" t="s">
        <v>1005</v>
      </c>
      <c r="D78" t="s">
        <v>930</v>
      </c>
      <c r="F78" t="s">
        <v>945</v>
      </c>
    </row>
    <row r="79" spans="2:8" x14ac:dyDescent="0.25">
      <c r="B79" t="s">
        <v>975</v>
      </c>
      <c r="C79" t="s">
        <v>980</v>
      </c>
      <c r="D79" t="s">
        <v>977</v>
      </c>
      <c r="F79" t="s">
        <v>990</v>
      </c>
      <c r="H79" t="s">
        <v>954</v>
      </c>
    </row>
    <row r="80" spans="2:8" x14ac:dyDescent="0.25">
      <c r="B80" t="s">
        <v>970</v>
      </c>
      <c r="C80" t="s">
        <v>971</v>
      </c>
      <c r="D80" t="s">
        <v>972</v>
      </c>
      <c r="F80" t="s">
        <v>982</v>
      </c>
      <c r="H80" t="s">
        <v>954</v>
      </c>
    </row>
    <row r="81" spans="2:8" x14ac:dyDescent="0.25">
      <c r="B81" t="s">
        <v>951</v>
      </c>
      <c r="C81" t="s">
        <v>952</v>
      </c>
      <c r="D81" t="s">
        <v>953</v>
      </c>
      <c r="F81" t="s">
        <v>983</v>
      </c>
      <c r="H81" t="s">
        <v>954</v>
      </c>
    </row>
    <row r="82" spans="2:8" x14ac:dyDescent="0.25">
      <c r="B82" t="s">
        <v>946</v>
      </c>
      <c r="C82" t="s">
        <v>1006</v>
      </c>
      <c r="D82" t="s">
        <v>930</v>
      </c>
      <c r="F82" t="s">
        <v>946</v>
      </c>
    </row>
    <row r="83" spans="2:8" x14ac:dyDescent="0.25">
      <c r="B83" t="s">
        <v>976</v>
      </c>
      <c r="C83" t="s">
        <v>981</v>
      </c>
      <c r="D83" t="s">
        <v>978</v>
      </c>
      <c r="F83" t="s">
        <v>991</v>
      </c>
      <c r="H83" t="s">
        <v>954</v>
      </c>
    </row>
    <row r="84" spans="2:8" x14ac:dyDescent="0.25">
      <c r="B84" t="s">
        <v>944</v>
      </c>
      <c r="C84" t="s">
        <v>1007</v>
      </c>
      <c r="D84" t="s">
        <v>972</v>
      </c>
      <c r="F84" t="s">
        <v>944</v>
      </c>
    </row>
    <row r="85" spans="2:8" x14ac:dyDescent="0.25">
      <c r="B85" t="s">
        <v>973</v>
      </c>
      <c r="C85" t="s">
        <v>974</v>
      </c>
      <c r="D85" t="s">
        <v>972</v>
      </c>
      <c r="F85" t="s">
        <v>994</v>
      </c>
      <c r="H85" t="s">
        <v>954</v>
      </c>
    </row>
    <row r="86" spans="2:8" x14ac:dyDescent="0.25">
      <c r="B86" t="s">
        <v>675</v>
      </c>
      <c r="C86" t="s">
        <v>678</v>
      </c>
      <c r="D86" t="s">
        <v>340</v>
      </c>
    </row>
    <row r="87" spans="2:8" x14ac:dyDescent="0.25">
      <c r="B87" t="s">
        <v>227</v>
      </c>
      <c r="C87" t="s">
        <v>228</v>
      </c>
      <c r="D87" t="s">
        <v>232</v>
      </c>
      <c r="F87" t="s">
        <v>227</v>
      </c>
      <c r="G87" t="s">
        <v>232</v>
      </c>
    </row>
    <row r="88" spans="2:8" x14ac:dyDescent="0.25">
      <c r="B88" t="s">
        <v>229</v>
      </c>
      <c r="C88" t="s">
        <v>230</v>
      </c>
      <c r="D88" t="s">
        <v>233</v>
      </c>
      <c r="F88" t="s">
        <v>229</v>
      </c>
      <c r="G88" t="s">
        <v>233</v>
      </c>
    </row>
    <row r="89" spans="2:8" x14ac:dyDescent="0.25">
      <c r="B89" t="s">
        <v>302</v>
      </c>
      <c r="C89" t="s">
        <v>305</v>
      </c>
      <c r="D89" t="s">
        <v>1106</v>
      </c>
      <c r="F89" t="s">
        <v>1098</v>
      </c>
      <c r="G89" t="s">
        <v>10</v>
      </c>
    </row>
    <row r="90" spans="2:8" x14ac:dyDescent="0.25">
      <c r="B90" t="s">
        <v>322</v>
      </c>
      <c r="C90" t="s">
        <v>1107</v>
      </c>
      <c r="D90" t="s">
        <v>1106</v>
      </c>
      <c r="F90" t="s">
        <v>1108</v>
      </c>
      <c r="G90" t="s">
        <v>10</v>
      </c>
      <c r="H90" t="s">
        <v>438</v>
      </c>
    </row>
    <row r="91" spans="2:8" x14ac:dyDescent="0.25">
      <c r="B91" t="s">
        <v>322</v>
      </c>
      <c r="C91" t="s">
        <v>979</v>
      </c>
      <c r="D91" s="1" t="s">
        <v>10</v>
      </c>
      <c r="F91" t="s">
        <v>992</v>
      </c>
      <c r="H91" t="s">
        <v>954</v>
      </c>
    </row>
    <row r="92" spans="2:8" x14ac:dyDescent="0.25">
      <c r="B92" t="s">
        <v>397</v>
      </c>
      <c r="C92" t="s">
        <v>941</v>
      </c>
      <c r="D92" t="s">
        <v>679</v>
      </c>
      <c r="F92" t="s">
        <v>398</v>
      </c>
      <c r="G92" t="s">
        <v>342</v>
      </c>
    </row>
    <row r="93" spans="2:8" x14ac:dyDescent="0.25">
      <c r="B93" t="s">
        <v>939</v>
      </c>
      <c r="C93" t="s">
        <v>936</v>
      </c>
      <c r="D93" t="s">
        <v>937</v>
      </c>
      <c r="F93" t="s">
        <v>938</v>
      </c>
    </row>
    <row r="94" spans="2:8" x14ac:dyDescent="0.25">
      <c r="B94" t="s">
        <v>423</v>
      </c>
      <c r="C94" t="s">
        <v>425</v>
      </c>
      <c r="D94" t="s">
        <v>672</v>
      </c>
      <c r="F94" t="s">
        <v>426</v>
      </c>
      <c r="G94" t="s">
        <v>342</v>
      </c>
    </row>
    <row r="95" spans="2:8" x14ac:dyDescent="0.25">
      <c r="B95" t="s">
        <v>1096</v>
      </c>
      <c r="C95" t="s">
        <v>1097</v>
      </c>
      <c r="D95" t="s">
        <v>1106</v>
      </c>
      <c r="F95" t="s">
        <v>1096</v>
      </c>
    </row>
    <row r="96" spans="2:8" x14ac:dyDescent="0.25">
      <c r="B96" t="s">
        <v>676</v>
      </c>
      <c r="C96" t="s">
        <v>680</v>
      </c>
      <c r="D96" t="s">
        <v>340</v>
      </c>
    </row>
    <row r="97" spans="2:8" x14ac:dyDescent="0.25">
      <c r="B97" t="s">
        <v>462</v>
      </c>
      <c r="C97" t="s">
        <v>463</v>
      </c>
      <c r="D97" t="s">
        <v>393</v>
      </c>
      <c r="F97" t="s">
        <v>464</v>
      </c>
      <c r="G97" t="s">
        <v>395</v>
      </c>
    </row>
    <row r="98" spans="2:8" x14ac:dyDescent="0.25">
      <c r="B98" t="s">
        <v>38</v>
      </c>
      <c r="C98" t="s">
        <v>39</v>
      </c>
    </row>
    <row r="99" spans="2:8" x14ac:dyDescent="0.25">
      <c r="B99" t="s">
        <v>434</v>
      </c>
      <c r="C99" t="s">
        <v>435</v>
      </c>
      <c r="F99" t="s">
        <v>434</v>
      </c>
    </row>
    <row r="100" spans="2:8" x14ac:dyDescent="0.25">
      <c r="B100" t="s">
        <v>297</v>
      </c>
      <c r="C100" t="s">
        <v>298</v>
      </c>
    </row>
    <row r="101" spans="2:8" x14ac:dyDescent="0.25">
      <c r="B101" t="s">
        <v>955</v>
      </c>
      <c r="C101" t="s">
        <v>956</v>
      </c>
      <c r="D101" t="s">
        <v>957</v>
      </c>
      <c r="F101" t="s">
        <v>984</v>
      </c>
      <c r="H101" t="s">
        <v>954</v>
      </c>
    </row>
    <row r="102" spans="2:8" x14ac:dyDescent="0.25">
      <c r="B102" t="s">
        <v>237</v>
      </c>
      <c r="C102" t="s">
        <v>238</v>
      </c>
      <c r="D102" t="s">
        <v>239</v>
      </c>
      <c r="F102" t="s">
        <v>212</v>
      </c>
      <c r="G102" t="s">
        <v>245</v>
      </c>
    </row>
    <row r="103" spans="2:8" x14ac:dyDescent="0.25">
      <c r="B103" t="s">
        <v>248</v>
      </c>
      <c r="C103" t="s">
        <v>250</v>
      </c>
      <c r="D103" t="s">
        <v>239</v>
      </c>
      <c r="F103" t="s">
        <v>252</v>
      </c>
      <c r="G103" t="s">
        <v>245</v>
      </c>
      <c r="H103" t="s">
        <v>954</v>
      </c>
    </row>
    <row r="104" spans="2:8" x14ac:dyDescent="0.25">
      <c r="B104" t="s">
        <v>247</v>
      </c>
      <c r="C104" t="s">
        <v>249</v>
      </c>
      <c r="D104" t="s">
        <v>239</v>
      </c>
      <c r="F104" t="s">
        <v>251</v>
      </c>
      <c r="G104" t="s">
        <v>245</v>
      </c>
      <c r="H104" t="s">
        <v>954</v>
      </c>
    </row>
    <row r="105" spans="2:8" x14ac:dyDescent="0.25">
      <c r="B105" t="s">
        <v>473</v>
      </c>
      <c r="C105" t="s">
        <v>477</v>
      </c>
      <c r="F105" t="s">
        <v>473</v>
      </c>
    </row>
    <row r="106" spans="2:8" x14ac:dyDescent="0.25">
      <c r="B106" t="s">
        <v>1093</v>
      </c>
      <c r="C106" t="s">
        <v>1094</v>
      </c>
      <c r="D106" t="s">
        <v>306</v>
      </c>
      <c r="F106" t="s">
        <v>1095</v>
      </c>
    </row>
    <row r="107" spans="2:8" x14ac:dyDescent="0.25">
      <c r="B107" t="s">
        <v>48</v>
      </c>
      <c r="C107" t="s">
        <v>49</v>
      </c>
      <c r="D107" t="s">
        <v>50</v>
      </c>
      <c r="F107" t="s">
        <v>439</v>
      </c>
      <c r="G107" t="s">
        <v>244</v>
      </c>
    </row>
    <row r="108" spans="2:8" x14ac:dyDescent="0.25">
      <c r="B108" t="s">
        <v>40</v>
      </c>
      <c r="C108" t="s">
        <v>47</v>
      </c>
      <c r="D108" t="s">
        <v>51</v>
      </c>
      <c r="F108" t="s">
        <v>440</v>
      </c>
      <c r="G108" t="s">
        <v>244</v>
      </c>
    </row>
    <row r="109" spans="2:8" x14ac:dyDescent="0.25">
      <c r="B109" t="s">
        <v>52</v>
      </c>
      <c r="C109" t="s">
        <v>54</v>
      </c>
      <c r="D109" t="s">
        <v>50</v>
      </c>
      <c r="F109" t="s">
        <v>441</v>
      </c>
      <c r="G109" t="s">
        <v>244</v>
      </c>
    </row>
    <row r="110" spans="2:8" x14ac:dyDescent="0.25">
      <c r="B110" t="s">
        <v>53</v>
      </c>
      <c r="C110" t="s">
        <v>55</v>
      </c>
      <c r="D110" t="s">
        <v>51</v>
      </c>
      <c r="F110" t="s">
        <v>442</v>
      </c>
      <c r="G110" t="s">
        <v>244</v>
      </c>
    </row>
    <row r="111" spans="2:8" x14ac:dyDescent="0.25">
      <c r="B111" t="s">
        <v>295</v>
      </c>
      <c r="C111" t="s">
        <v>296</v>
      </c>
      <c r="D111" t="s">
        <v>323</v>
      </c>
      <c r="F111" t="s">
        <v>220</v>
      </c>
      <c r="G111" t="s">
        <v>324</v>
      </c>
    </row>
    <row r="112" spans="2:8" x14ac:dyDescent="0.25">
      <c r="B112" t="s">
        <v>403</v>
      </c>
      <c r="C112" t="s">
        <v>407</v>
      </c>
      <c r="F112" t="s">
        <v>403</v>
      </c>
    </row>
    <row r="113" spans="2:8" x14ac:dyDescent="0.25">
      <c r="B113" t="s">
        <v>405</v>
      </c>
      <c r="C113" t="s">
        <v>409</v>
      </c>
      <c r="F113" t="s">
        <v>405</v>
      </c>
    </row>
    <row r="114" spans="2:8" x14ac:dyDescent="0.25">
      <c r="B114" t="s">
        <v>404</v>
      </c>
      <c r="C114" t="s">
        <v>408</v>
      </c>
      <c r="F114" t="s">
        <v>404</v>
      </c>
    </row>
    <row r="115" spans="2:8" x14ac:dyDescent="0.25">
      <c r="B115" t="s">
        <v>222</v>
      </c>
      <c r="C115" t="s">
        <v>223</v>
      </c>
      <c r="F115" t="s">
        <v>224</v>
      </c>
    </row>
    <row r="116" spans="2:8" x14ac:dyDescent="0.25">
      <c r="B116" t="s">
        <v>220</v>
      </c>
      <c r="C116" t="s">
        <v>221</v>
      </c>
      <c r="F116" t="s">
        <v>220</v>
      </c>
    </row>
    <row r="117" spans="2:8" x14ac:dyDescent="0.25">
      <c r="B117" t="s">
        <v>406</v>
      </c>
      <c r="C117" t="s">
        <v>410</v>
      </c>
      <c r="F117" t="s">
        <v>406</v>
      </c>
    </row>
    <row r="118" spans="2:8" x14ac:dyDescent="0.25">
      <c r="B118" t="s">
        <v>420</v>
      </c>
      <c r="C118" t="s">
        <v>422</v>
      </c>
      <c r="D118" t="s">
        <v>670</v>
      </c>
      <c r="F118" t="s">
        <v>421</v>
      </c>
      <c r="G118" t="s">
        <v>671</v>
      </c>
    </row>
    <row r="119" spans="2:8" x14ac:dyDescent="0.25">
      <c r="B119" t="s">
        <v>293</v>
      </c>
      <c r="C119" t="s">
        <v>294</v>
      </c>
      <c r="D119" t="s">
        <v>870</v>
      </c>
      <c r="F119" t="s">
        <v>293</v>
      </c>
      <c r="G119" t="s">
        <v>871</v>
      </c>
    </row>
    <row r="120" spans="2:8" x14ac:dyDescent="0.25">
      <c r="B120" t="s">
        <v>292</v>
      </c>
      <c r="C120" t="s">
        <v>314</v>
      </c>
      <c r="D120" t="s">
        <v>310</v>
      </c>
      <c r="F120" t="s">
        <v>313</v>
      </c>
    </row>
    <row r="121" spans="2:8" x14ac:dyDescent="0.25">
      <c r="B121" t="s">
        <v>963</v>
      </c>
      <c r="C121" t="s">
        <v>964</v>
      </c>
      <c r="D121" t="s">
        <v>965</v>
      </c>
      <c r="F121" t="s">
        <v>987</v>
      </c>
      <c r="H121" t="s">
        <v>954</v>
      </c>
    </row>
    <row r="122" spans="2:8" x14ac:dyDescent="0.25">
      <c r="B122" t="s">
        <v>460</v>
      </c>
      <c r="C122" t="s">
        <v>461</v>
      </c>
    </row>
    <row r="123" spans="2:8" x14ac:dyDescent="0.25">
      <c r="B123" t="s">
        <v>465</v>
      </c>
      <c r="C123" t="s">
        <v>466</v>
      </c>
      <c r="F123" t="s">
        <v>467</v>
      </c>
    </row>
    <row r="124" spans="2:8" x14ac:dyDescent="0.25">
      <c r="B124" t="s">
        <v>472</v>
      </c>
      <c r="C124" t="s">
        <v>476</v>
      </c>
      <c r="F124" t="s">
        <v>472</v>
      </c>
    </row>
    <row r="125" spans="2:8" x14ac:dyDescent="0.25">
      <c r="B125" s="2" t="s">
        <v>241</v>
      </c>
      <c r="C125" s="2" t="s">
        <v>242</v>
      </c>
      <c r="F125" t="s">
        <v>241</v>
      </c>
    </row>
    <row r="126" spans="2:8" x14ac:dyDescent="0.25">
      <c r="B126" t="s">
        <v>325</v>
      </c>
    </row>
    <row r="127" spans="2:8" x14ac:dyDescent="0.25">
      <c r="B127" t="s">
        <v>218</v>
      </c>
      <c r="C127" t="s">
        <v>219</v>
      </c>
      <c r="D127" t="s">
        <v>177</v>
      </c>
      <c r="F127" t="s">
        <v>218</v>
      </c>
    </row>
    <row r="128" spans="2:8" x14ac:dyDescent="0.25">
      <c r="B128" t="s">
        <v>468</v>
      </c>
      <c r="C128" t="s">
        <v>469</v>
      </c>
      <c r="F128" t="s">
        <v>468</v>
      </c>
    </row>
    <row r="129" spans="1:8" x14ac:dyDescent="0.25">
      <c r="B129" t="s">
        <v>478</v>
      </c>
      <c r="C129" t="s">
        <v>479</v>
      </c>
      <c r="F129" t="s">
        <v>478</v>
      </c>
      <c r="G129" t="s">
        <v>306</v>
      </c>
    </row>
    <row r="130" spans="1:8" x14ac:dyDescent="0.25">
      <c r="B130" t="s">
        <v>396</v>
      </c>
      <c r="C130" t="s">
        <v>415</v>
      </c>
      <c r="D130" t="s">
        <v>306</v>
      </c>
      <c r="F130" t="s">
        <v>396</v>
      </c>
      <c r="G130" t="s">
        <v>338</v>
      </c>
    </row>
    <row r="131" spans="1:8" x14ac:dyDescent="0.25">
      <c r="B131" t="s">
        <v>427</v>
      </c>
      <c r="C131" t="s">
        <v>428</v>
      </c>
      <c r="D131" t="s">
        <v>336</v>
      </c>
      <c r="F131" t="s">
        <v>429</v>
      </c>
      <c r="G131" t="s">
        <v>338</v>
      </c>
      <c r="H131" t="s">
        <v>69</v>
      </c>
    </row>
    <row r="132" spans="1:8" x14ac:dyDescent="0.25">
      <c r="B132" t="s">
        <v>334</v>
      </c>
      <c r="C132" t="s">
        <v>335</v>
      </c>
      <c r="D132" t="s">
        <v>336</v>
      </c>
      <c r="F132" t="s">
        <v>337</v>
      </c>
      <c r="G132" t="s">
        <v>262</v>
      </c>
    </row>
    <row r="133" spans="1:8" x14ac:dyDescent="0.25">
      <c r="B133" t="s">
        <v>681</v>
      </c>
      <c r="C133" t="s">
        <v>683</v>
      </c>
      <c r="D133" t="s">
        <v>87</v>
      </c>
      <c r="F133" t="s">
        <v>1069</v>
      </c>
      <c r="G133" t="s">
        <v>262</v>
      </c>
    </row>
    <row r="134" spans="1:8" x14ac:dyDescent="0.25">
      <c r="A134" t="s">
        <v>591</v>
      </c>
      <c r="B134" t="s">
        <v>595</v>
      </c>
      <c r="C134" t="s">
        <v>597</v>
      </c>
    </row>
    <row r="135" spans="1:8" x14ac:dyDescent="0.25">
      <c r="B135" t="s">
        <v>42</v>
      </c>
      <c r="C135" t="s">
        <v>43</v>
      </c>
      <c r="D135" t="s">
        <v>87</v>
      </c>
      <c r="F135" t="s">
        <v>82</v>
      </c>
      <c r="G135" t="s">
        <v>262</v>
      </c>
    </row>
    <row r="136" spans="1:8" x14ac:dyDescent="0.25">
      <c r="A136" t="s">
        <v>591</v>
      </c>
      <c r="B136" t="s">
        <v>590</v>
      </c>
      <c r="C136" t="s">
        <v>593</v>
      </c>
      <c r="D136" t="s">
        <v>87</v>
      </c>
      <c r="F136" t="s">
        <v>589</v>
      </c>
      <c r="G136" t="s">
        <v>262</v>
      </c>
    </row>
    <row r="137" spans="1:8" x14ac:dyDescent="0.25">
      <c r="B137" t="s">
        <v>331</v>
      </c>
      <c r="C137" t="s">
        <v>332</v>
      </c>
      <c r="D137" t="s">
        <v>87</v>
      </c>
      <c r="F137" t="s">
        <v>333</v>
      </c>
      <c r="G137" t="s">
        <v>262</v>
      </c>
    </row>
    <row r="138" spans="1:8" x14ac:dyDescent="0.25">
      <c r="B138" t="s">
        <v>685</v>
      </c>
      <c r="C138" t="s">
        <v>686</v>
      </c>
    </row>
    <row r="139" spans="1:8" x14ac:dyDescent="0.25">
      <c r="B139" t="s">
        <v>46</v>
      </c>
      <c r="C139" t="s">
        <v>78</v>
      </c>
      <c r="D139" t="s">
        <v>87</v>
      </c>
      <c r="F139" t="s">
        <v>83</v>
      </c>
      <c r="G139" t="s">
        <v>262</v>
      </c>
    </row>
    <row r="140" spans="1:8" x14ac:dyDescent="0.25">
      <c r="B140" t="s">
        <v>80</v>
      </c>
      <c r="C140" t="s">
        <v>81</v>
      </c>
      <c r="D140" t="s">
        <v>87</v>
      </c>
      <c r="F140" t="s">
        <v>86</v>
      </c>
      <c r="G140" t="s">
        <v>262</v>
      </c>
    </row>
    <row r="141" spans="1:8" x14ac:dyDescent="0.25">
      <c r="B141" t="s">
        <v>867</v>
      </c>
      <c r="C141" t="s">
        <v>869</v>
      </c>
      <c r="D141" t="s">
        <v>87</v>
      </c>
    </row>
    <row r="142" spans="1:8" x14ac:dyDescent="0.25">
      <c r="B142" t="s">
        <v>45</v>
      </c>
      <c r="C142" t="s">
        <v>79</v>
      </c>
      <c r="D142" t="s">
        <v>87</v>
      </c>
      <c r="F142" t="s">
        <v>84</v>
      </c>
      <c r="G142" t="s">
        <v>262</v>
      </c>
    </row>
    <row r="143" spans="1:8" x14ac:dyDescent="0.25">
      <c r="B143" t="s">
        <v>44</v>
      </c>
      <c r="C143" t="s">
        <v>868</v>
      </c>
      <c r="D143" t="s">
        <v>87</v>
      </c>
      <c r="F143" t="s">
        <v>85</v>
      </c>
    </row>
    <row r="147" spans="4:6" x14ac:dyDescent="0.25">
      <c r="D147" t="s">
        <v>1031</v>
      </c>
      <c r="F147" t="s">
        <v>1010</v>
      </c>
    </row>
    <row r="148" spans="4:6" x14ac:dyDescent="0.25">
      <c r="D148" t="s">
        <v>1104</v>
      </c>
      <c r="F148" t="s">
        <v>1011</v>
      </c>
    </row>
  </sheetData>
  <sortState xmlns:xlrd2="http://schemas.microsoft.com/office/spreadsheetml/2017/richdata2" ref="A4:J149">
    <sortCondition ref="B4:B149"/>
  </sortState>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706FC-C087-4CA7-B305-CBECC59A6E89}">
  <dimension ref="A1:F205"/>
  <sheetViews>
    <sheetView workbookViewId="0">
      <selection activeCell="A212" sqref="A212"/>
    </sheetView>
  </sheetViews>
  <sheetFormatPr defaultRowHeight="15" x14ac:dyDescent="0.25"/>
  <cols>
    <col min="2" max="2" width="26.42578125" customWidth="1"/>
    <col min="3" max="3" width="57" customWidth="1"/>
    <col min="4" max="4" width="22.42578125" customWidth="1"/>
    <col min="5" max="5" width="19.7109375" customWidth="1"/>
    <col min="6" max="6" width="18.5703125" customWidth="1"/>
  </cols>
  <sheetData>
    <row r="1" spans="1:6" x14ac:dyDescent="0.25">
      <c r="A1" t="s">
        <v>94</v>
      </c>
    </row>
    <row r="4" spans="1:6" x14ac:dyDescent="0.25">
      <c r="B4" t="s">
        <v>4</v>
      </c>
      <c r="C4" t="s">
        <v>2</v>
      </c>
      <c r="D4" t="s">
        <v>3</v>
      </c>
      <c r="E4" t="s">
        <v>136</v>
      </c>
      <c r="F4" t="s">
        <v>137</v>
      </c>
    </row>
    <row r="5" spans="1:6" x14ac:dyDescent="0.25">
      <c r="A5" t="s">
        <v>107</v>
      </c>
    </row>
    <row r="6" spans="1:6" x14ac:dyDescent="0.25">
      <c r="A6" t="s">
        <v>491</v>
      </c>
      <c r="B6" t="s">
        <v>95</v>
      </c>
    </row>
    <row r="7" spans="1:6" x14ac:dyDescent="0.25">
      <c r="B7" t="s">
        <v>96</v>
      </c>
    </row>
    <row r="8" spans="1:6" x14ac:dyDescent="0.25">
      <c r="B8" t="s">
        <v>97</v>
      </c>
    </row>
    <row r="9" spans="1:6" x14ac:dyDescent="0.25">
      <c r="B9" t="s">
        <v>98</v>
      </c>
    </row>
    <row r="10" spans="1:6" x14ac:dyDescent="0.25">
      <c r="B10" t="s">
        <v>99</v>
      </c>
    </row>
    <row r="11" spans="1:6" x14ac:dyDescent="0.25">
      <c r="B11" t="s">
        <v>100</v>
      </c>
    </row>
    <row r="12" spans="1:6" x14ac:dyDescent="0.25">
      <c r="B12" t="s">
        <v>101</v>
      </c>
    </row>
    <row r="13" spans="1:6" x14ac:dyDescent="0.25">
      <c r="B13" t="s">
        <v>102</v>
      </c>
    </row>
    <row r="14" spans="1:6" x14ac:dyDescent="0.25">
      <c r="B14" t="s">
        <v>103</v>
      </c>
    </row>
    <row r="15" spans="1:6" x14ac:dyDescent="0.25">
      <c r="B15" t="s">
        <v>104</v>
      </c>
    </row>
    <row r="16" spans="1:6" x14ac:dyDescent="0.25">
      <c r="B16" t="s">
        <v>108</v>
      </c>
    </row>
    <row r="17" spans="1:6" x14ac:dyDescent="0.25">
      <c r="B17" t="s">
        <v>109</v>
      </c>
    </row>
    <row r="18" spans="1:6" x14ac:dyDescent="0.25">
      <c r="B18" t="s">
        <v>110</v>
      </c>
    </row>
    <row r="19" spans="1:6" x14ac:dyDescent="0.25">
      <c r="B19" t="s">
        <v>105</v>
      </c>
    </row>
    <row r="20" spans="1:6" x14ac:dyDescent="0.25">
      <c r="B20" t="s">
        <v>106</v>
      </c>
    </row>
    <row r="22" spans="1:6" x14ac:dyDescent="0.25">
      <c r="A22" t="s">
        <v>111</v>
      </c>
    </row>
    <row r="23" spans="1:6" x14ac:dyDescent="0.25">
      <c r="A23" t="s">
        <v>491</v>
      </c>
      <c r="B23" t="s">
        <v>112</v>
      </c>
      <c r="C23" t="s">
        <v>128</v>
      </c>
      <c r="F23" t="s">
        <v>112</v>
      </c>
    </row>
    <row r="24" spans="1:6" x14ac:dyDescent="0.25">
      <c r="B24" t="s">
        <v>156</v>
      </c>
      <c r="C24" t="s">
        <v>159</v>
      </c>
      <c r="D24" t="s">
        <v>135</v>
      </c>
      <c r="E24" t="s">
        <v>166</v>
      </c>
      <c r="F24" t="s">
        <v>123</v>
      </c>
    </row>
    <row r="25" spans="1:6" x14ac:dyDescent="0.25">
      <c r="B25" t="s">
        <v>157</v>
      </c>
      <c r="C25" t="s">
        <v>160</v>
      </c>
      <c r="D25" t="s">
        <v>142</v>
      </c>
      <c r="E25" t="s">
        <v>162</v>
      </c>
      <c r="F25" t="s">
        <v>153</v>
      </c>
    </row>
    <row r="26" spans="1:6" x14ac:dyDescent="0.25">
      <c r="B26" t="s">
        <v>158</v>
      </c>
      <c r="C26" t="s">
        <v>161</v>
      </c>
      <c r="D26" t="s">
        <v>142</v>
      </c>
      <c r="E26" t="s">
        <v>163</v>
      </c>
      <c r="F26" t="s">
        <v>154</v>
      </c>
    </row>
    <row r="27" spans="1:6" x14ac:dyDescent="0.25">
      <c r="B27" t="s">
        <v>138</v>
      </c>
      <c r="C27" t="s">
        <v>141</v>
      </c>
      <c r="D27" t="s">
        <v>142</v>
      </c>
      <c r="E27" t="s">
        <v>155</v>
      </c>
      <c r="F27" t="s">
        <v>164</v>
      </c>
    </row>
    <row r="28" spans="1:6" x14ac:dyDescent="0.25">
      <c r="B28" t="s">
        <v>139</v>
      </c>
      <c r="C28" t="s">
        <v>140</v>
      </c>
      <c r="D28" t="s">
        <v>142</v>
      </c>
      <c r="E28" t="s">
        <v>155</v>
      </c>
      <c r="F28" t="s">
        <v>165</v>
      </c>
    </row>
    <row r="29" spans="1:6" x14ac:dyDescent="0.25">
      <c r="B29" t="s">
        <v>167</v>
      </c>
      <c r="C29" t="s">
        <v>168</v>
      </c>
      <c r="D29" t="s">
        <v>135</v>
      </c>
      <c r="E29" t="s">
        <v>166</v>
      </c>
      <c r="F29" t="s">
        <v>124</v>
      </c>
    </row>
    <row r="30" spans="1:6" x14ac:dyDescent="0.25">
      <c r="B30" t="s">
        <v>173</v>
      </c>
      <c r="C30" t="s">
        <v>170</v>
      </c>
      <c r="D30" t="s">
        <v>172</v>
      </c>
      <c r="F30" t="s">
        <v>173</v>
      </c>
    </row>
    <row r="31" spans="1:6" x14ac:dyDescent="0.25">
      <c r="B31" t="s">
        <v>174</v>
      </c>
      <c r="C31" t="s">
        <v>171</v>
      </c>
      <c r="D31" t="s">
        <v>172</v>
      </c>
      <c r="F31" t="s">
        <v>174</v>
      </c>
    </row>
    <row r="32" spans="1:6" x14ac:dyDescent="0.25">
      <c r="B32" t="s">
        <v>115</v>
      </c>
      <c r="C32" t="s">
        <v>132</v>
      </c>
      <c r="D32" t="s">
        <v>169</v>
      </c>
      <c r="F32" t="s">
        <v>125</v>
      </c>
    </row>
    <row r="33" spans="2:6" x14ac:dyDescent="0.25">
      <c r="B33" t="s">
        <v>116</v>
      </c>
      <c r="C33" t="s">
        <v>133</v>
      </c>
      <c r="D33" t="s">
        <v>169</v>
      </c>
      <c r="F33" t="s">
        <v>126</v>
      </c>
    </row>
    <row r="34" spans="2:6" x14ac:dyDescent="0.25">
      <c r="B34" t="s">
        <v>144</v>
      </c>
      <c r="C34" t="s">
        <v>143</v>
      </c>
      <c r="D34" t="s">
        <v>147</v>
      </c>
      <c r="E34" t="s">
        <v>166</v>
      </c>
      <c r="F34" t="s">
        <v>113</v>
      </c>
    </row>
    <row r="35" spans="2:6" x14ac:dyDescent="0.25">
      <c r="B35" t="s">
        <v>145</v>
      </c>
      <c r="C35" t="s">
        <v>150</v>
      </c>
      <c r="D35" t="s">
        <v>148</v>
      </c>
      <c r="E35" t="s">
        <v>155</v>
      </c>
      <c r="F35" t="s">
        <v>117</v>
      </c>
    </row>
    <row r="36" spans="2:6" x14ac:dyDescent="0.25">
      <c r="B36" t="s">
        <v>146</v>
      </c>
      <c r="C36" t="s">
        <v>149</v>
      </c>
      <c r="D36" t="s">
        <v>148</v>
      </c>
      <c r="E36" t="s">
        <v>155</v>
      </c>
      <c r="F36" t="s">
        <v>118</v>
      </c>
    </row>
    <row r="37" spans="2:6" x14ac:dyDescent="0.25">
      <c r="B37" t="s">
        <v>122</v>
      </c>
      <c r="C37" t="s">
        <v>151</v>
      </c>
      <c r="D37" t="s">
        <v>152</v>
      </c>
      <c r="F37" t="s">
        <v>130</v>
      </c>
    </row>
    <row r="38" spans="2:6" x14ac:dyDescent="0.25">
      <c r="B38" t="s">
        <v>175</v>
      </c>
      <c r="C38" t="s">
        <v>176</v>
      </c>
      <c r="D38" t="s">
        <v>177</v>
      </c>
      <c r="F38" t="s">
        <v>114</v>
      </c>
    </row>
    <row r="39" spans="2:6" x14ac:dyDescent="0.25">
      <c r="B39" t="s">
        <v>119</v>
      </c>
      <c r="C39" t="s">
        <v>128</v>
      </c>
      <c r="F39" t="s">
        <v>127</v>
      </c>
    </row>
    <row r="40" spans="2:6" x14ac:dyDescent="0.25">
      <c r="B40" t="s">
        <v>120</v>
      </c>
      <c r="C40" t="s">
        <v>134</v>
      </c>
      <c r="F40" t="s">
        <v>129</v>
      </c>
    </row>
    <row r="41" spans="2:6" x14ac:dyDescent="0.25">
      <c r="B41" t="s">
        <v>121</v>
      </c>
      <c r="C41" t="s">
        <v>179</v>
      </c>
      <c r="E41" t="s">
        <v>181</v>
      </c>
      <c r="F41" t="s">
        <v>180</v>
      </c>
    </row>
    <row r="42" spans="2:6" x14ac:dyDescent="0.25">
      <c r="B42" t="s">
        <v>178</v>
      </c>
      <c r="C42" t="s">
        <v>128</v>
      </c>
      <c r="F42" t="s">
        <v>131</v>
      </c>
    </row>
    <row r="49" spans="1:4" x14ac:dyDescent="0.25">
      <c r="A49" t="s">
        <v>205</v>
      </c>
    </row>
    <row r="50" spans="1:4" x14ac:dyDescent="0.25">
      <c r="A50" t="s">
        <v>491</v>
      </c>
      <c r="B50" t="s">
        <v>186</v>
      </c>
      <c r="C50" t="s">
        <v>143</v>
      </c>
      <c r="D50" t="s">
        <v>147</v>
      </c>
    </row>
    <row r="51" spans="1:4" x14ac:dyDescent="0.25">
      <c r="B51" t="s">
        <v>190</v>
      </c>
      <c r="C51" t="s">
        <v>195</v>
      </c>
      <c r="D51" t="s">
        <v>204</v>
      </c>
    </row>
    <row r="52" spans="1:4" x14ac:dyDescent="0.25">
      <c r="B52" t="s">
        <v>82</v>
      </c>
      <c r="C52" t="s">
        <v>196</v>
      </c>
      <c r="D52" t="s">
        <v>204</v>
      </c>
    </row>
    <row r="53" spans="1:4" x14ac:dyDescent="0.25">
      <c r="B53" t="s">
        <v>191</v>
      </c>
      <c r="C53" t="s">
        <v>197</v>
      </c>
      <c r="D53" t="s">
        <v>204</v>
      </c>
    </row>
    <row r="54" spans="1:4" x14ac:dyDescent="0.25">
      <c r="B54" t="s">
        <v>85</v>
      </c>
      <c r="C54" t="s">
        <v>198</v>
      </c>
      <c r="D54" t="s">
        <v>204</v>
      </c>
    </row>
    <row r="55" spans="1:4" x14ac:dyDescent="0.25">
      <c r="B55" t="s">
        <v>192</v>
      </c>
      <c r="C55" t="s">
        <v>199</v>
      </c>
      <c r="D55" t="s">
        <v>204</v>
      </c>
    </row>
    <row r="56" spans="1:4" x14ac:dyDescent="0.25">
      <c r="B56" t="s">
        <v>193</v>
      </c>
      <c r="C56" t="s">
        <v>200</v>
      </c>
      <c r="D56" t="s">
        <v>204</v>
      </c>
    </row>
    <row r="57" spans="1:4" x14ac:dyDescent="0.25">
      <c r="B57" t="s">
        <v>83</v>
      </c>
      <c r="C57" t="s">
        <v>201</v>
      </c>
      <c r="D57" t="s">
        <v>204</v>
      </c>
    </row>
    <row r="58" spans="1:4" x14ac:dyDescent="0.25">
      <c r="B58" t="s">
        <v>86</v>
      </c>
      <c r="C58" t="s">
        <v>618</v>
      </c>
      <c r="D58" t="s">
        <v>204</v>
      </c>
    </row>
    <row r="59" spans="1:4" x14ac:dyDescent="0.25">
      <c r="B59" t="s">
        <v>84</v>
      </c>
      <c r="C59" t="s">
        <v>619</v>
      </c>
      <c r="D59" t="s">
        <v>204</v>
      </c>
    </row>
    <row r="60" spans="1:4" x14ac:dyDescent="0.25">
      <c r="B60" t="s">
        <v>333</v>
      </c>
      <c r="C60" t="s">
        <v>633</v>
      </c>
      <c r="D60" t="s">
        <v>204</v>
      </c>
    </row>
    <row r="61" spans="1:4" x14ac:dyDescent="0.25">
      <c r="B61" t="s">
        <v>620</v>
      </c>
      <c r="C61" t="s">
        <v>621</v>
      </c>
      <c r="D61" t="s">
        <v>204</v>
      </c>
    </row>
    <row r="62" spans="1:4" x14ac:dyDescent="0.25">
      <c r="B62" t="s">
        <v>189</v>
      </c>
      <c r="C62" t="s">
        <v>194</v>
      </c>
      <c r="D62" t="s">
        <v>203</v>
      </c>
    </row>
    <row r="63" spans="1:4" x14ac:dyDescent="0.25">
      <c r="B63" t="s">
        <v>220</v>
      </c>
      <c r="C63" t="s">
        <v>622</v>
      </c>
      <c r="D63" t="s">
        <v>208</v>
      </c>
    </row>
    <row r="64" spans="1:4" x14ac:dyDescent="0.25">
      <c r="B64" t="s">
        <v>623</v>
      </c>
      <c r="C64" t="s">
        <v>624</v>
      </c>
      <c r="D64" t="s">
        <v>208</v>
      </c>
    </row>
    <row r="65" spans="2:4" x14ac:dyDescent="0.25">
      <c r="B65" t="s">
        <v>317</v>
      </c>
      <c r="C65" t="s">
        <v>625</v>
      </c>
      <c r="D65" t="s">
        <v>626</v>
      </c>
    </row>
    <row r="66" spans="2:4" x14ac:dyDescent="0.25">
      <c r="B66" t="s">
        <v>627</v>
      </c>
    </row>
    <row r="67" spans="2:4" x14ac:dyDescent="0.25">
      <c r="B67" t="s">
        <v>70</v>
      </c>
    </row>
    <row r="68" spans="2:4" x14ac:dyDescent="0.25">
      <c r="B68" t="s">
        <v>416</v>
      </c>
    </row>
    <row r="69" spans="2:4" x14ac:dyDescent="0.25">
      <c r="B69" t="s">
        <v>631</v>
      </c>
    </row>
    <row r="72" spans="2:4" x14ac:dyDescent="0.25">
      <c r="B72" t="s">
        <v>630</v>
      </c>
      <c r="C72" t="s">
        <v>632</v>
      </c>
      <c r="D72" t="s">
        <v>204</v>
      </c>
    </row>
    <row r="73" spans="2:4" x14ac:dyDescent="0.25">
      <c r="B73" t="s">
        <v>631</v>
      </c>
    </row>
    <row r="74" spans="2:4" x14ac:dyDescent="0.25">
      <c r="B74" t="s">
        <v>182</v>
      </c>
      <c r="C74" t="s">
        <v>202</v>
      </c>
      <c r="D74" t="s">
        <v>204</v>
      </c>
    </row>
    <row r="75" spans="2:4" x14ac:dyDescent="0.25">
      <c r="B75" t="s">
        <v>628</v>
      </c>
      <c r="C75" t="s">
        <v>629</v>
      </c>
      <c r="D75" t="s">
        <v>636</v>
      </c>
    </row>
    <row r="76" spans="2:4" x14ac:dyDescent="0.25">
      <c r="B76" t="s">
        <v>634</v>
      </c>
      <c r="C76" t="s">
        <v>635</v>
      </c>
      <c r="D76" t="s">
        <v>636</v>
      </c>
    </row>
    <row r="79" spans="2:4" x14ac:dyDescent="0.25">
      <c r="B79" t="s">
        <v>341</v>
      </c>
    </row>
    <row r="80" spans="2:4" x14ac:dyDescent="0.25">
      <c r="B80" t="s">
        <v>398</v>
      </c>
    </row>
    <row r="81" spans="1:5" x14ac:dyDescent="0.25">
      <c r="B81" t="s">
        <v>414</v>
      </c>
    </row>
    <row r="83" spans="1:5" x14ac:dyDescent="0.25">
      <c r="A83" t="s">
        <v>210</v>
      </c>
    </row>
    <row r="84" spans="1:5" x14ac:dyDescent="0.25">
      <c r="A84" t="s">
        <v>491</v>
      </c>
      <c r="B84" t="s">
        <v>206</v>
      </c>
      <c r="C84" t="s">
        <v>207</v>
      </c>
      <c r="D84" t="s">
        <v>208</v>
      </c>
      <c r="E84" t="s">
        <v>209</v>
      </c>
    </row>
    <row r="88" spans="1:5" x14ac:dyDescent="0.25">
      <c r="A88" t="s">
        <v>211</v>
      </c>
    </row>
    <row r="89" spans="1:5" x14ac:dyDescent="0.25">
      <c r="A89" t="s">
        <v>491</v>
      </c>
      <c r="B89" t="s">
        <v>212</v>
      </c>
      <c r="C89" t="s">
        <v>213</v>
      </c>
      <c r="D89" t="s">
        <v>246</v>
      </c>
    </row>
    <row r="90" spans="1:5" x14ac:dyDescent="0.25">
      <c r="B90" t="s">
        <v>220</v>
      </c>
      <c r="C90" t="s">
        <v>221</v>
      </c>
    </row>
    <row r="94" spans="1:5" x14ac:dyDescent="0.25">
      <c r="A94" t="s">
        <v>343</v>
      </c>
    </row>
    <row r="95" spans="1:5" x14ac:dyDescent="0.25">
      <c r="A95" t="s">
        <v>492</v>
      </c>
      <c r="B95" t="s">
        <v>348</v>
      </c>
      <c r="C95" t="s">
        <v>350</v>
      </c>
      <c r="D95" t="s">
        <v>351</v>
      </c>
    </row>
    <row r="96" spans="1:5" x14ac:dyDescent="0.25">
      <c r="B96" t="s">
        <v>349</v>
      </c>
      <c r="C96" t="s">
        <v>350</v>
      </c>
      <c r="D96" t="s">
        <v>351</v>
      </c>
    </row>
    <row r="101" spans="1:4" x14ac:dyDescent="0.25">
      <c r="A101" t="s">
        <v>347</v>
      </c>
    </row>
    <row r="102" spans="1:4" x14ac:dyDescent="0.25">
      <c r="A102" t="s">
        <v>492</v>
      </c>
      <c r="B102" t="s">
        <v>344</v>
      </c>
      <c r="C102" t="s">
        <v>346</v>
      </c>
    </row>
    <row r="103" spans="1:4" x14ac:dyDescent="0.25">
      <c r="B103" t="s">
        <v>345</v>
      </c>
      <c r="C103" t="s">
        <v>346</v>
      </c>
    </row>
    <row r="104" spans="1:4" x14ac:dyDescent="0.25">
      <c r="B104" t="s">
        <v>353</v>
      </c>
      <c r="C104" t="s">
        <v>346</v>
      </c>
    </row>
    <row r="105" spans="1:4" x14ac:dyDescent="0.25">
      <c r="B105" t="s">
        <v>603</v>
      </c>
      <c r="C105" t="s">
        <v>606</v>
      </c>
      <c r="D105" t="s">
        <v>605</v>
      </c>
    </row>
    <row r="106" spans="1:4" x14ac:dyDescent="0.25">
      <c r="B106" t="s">
        <v>604</v>
      </c>
    </row>
    <row r="110" spans="1:4" x14ac:dyDescent="0.25">
      <c r="B110" t="s">
        <v>499</v>
      </c>
      <c r="C110" t="s">
        <v>500</v>
      </c>
    </row>
    <row r="111" spans="1:4" x14ac:dyDescent="0.25">
      <c r="B111" t="s">
        <v>490</v>
      </c>
      <c r="C111" t="s">
        <v>511</v>
      </c>
      <c r="D111" t="s">
        <v>561</v>
      </c>
    </row>
    <row r="113" spans="2:5" x14ac:dyDescent="0.25">
      <c r="B113" t="s">
        <v>486</v>
      </c>
      <c r="C113" t="s">
        <v>601</v>
      </c>
      <c r="D113" t="s">
        <v>810</v>
      </c>
    </row>
    <row r="114" spans="2:5" x14ac:dyDescent="0.25">
      <c r="B114" t="s">
        <v>487</v>
      </c>
      <c r="C114" t="s">
        <v>602</v>
      </c>
      <c r="D114" t="s">
        <v>810</v>
      </c>
    </row>
    <row r="115" spans="2:5" x14ac:dyDescent="0.25">
      <c r="B115" t="s">
        <v>488</v>
      </c>
      <c r="C115" t="s">
        <v>811</v>
      </c>
      <c r="D115" t="s">
        <v>523</v>
      </c>
    </row>
    <row r="116" spans="2:5" x14ac:dyDescent="0.25">
      <c r="B116" t="s">
        <v>607</v>
      </c>
      <c r="C116" t="s">
        <v>823</v>
      </c>
      <c r="D116" t="s">
        <v>810</v>
      </c>
    </row>
    <row r="117" spans="2:5" x14ac:dyDescent="0.25">
      <c r="B117" t="s">
        <v>489</v>
      </c>
      <c r="C117" t="s">
        <v>506</v>
      </c>
      <c r="D117" t="s">
        <v>524</v>
      </c>
    </row>
    <row r="118" spans="2:5" x14ac:dyDescent="0.25">
      <c r="B118" t="s">
        <v>525</v>
      </c>
      <c r="C118" t="s">
        <v>526</v>
      </c>
      <c r="D118" t="s">
        <v>812</v>
      </c>
      <c r="E118" t="s">
        <v>813</v>
      </c>
    </row>
    <row r="119" spans="2:5" x14ac:dyDescent="0.25">
      <c r="B119" t="s">
        <v>527</v>
      </c>
      <c r="C119" t="s">
        <v>528</v>
      </c>
      <c r="D119" t="s">
        <v>529</v>
      </c>
      <c r="E119" t="s">
        <v>530</v>
      </c>
    </row>
    <row r="121" spans="2:5" x14ac:dyDescent="0.25">
      <c r="B121" t="s">
        <v>497</v>
      </c>
      <c r="C121" t="s">
        <v>512</v>
      </c>
      <c r="D121" t="s">
        <v>513</v>
      </c>
    </row>
    <row r="122" spans="2:5" x14ac:dyDescent="0.25">
      <c r="B122" t="s">
        <v>493</v>
      </c>
      <c r="C122" t="s">
        <v>514</v>
      </c>
      <c r="D122" t="s">
        <v>508</v>
      </c>
    </row>
    <row r="123" spans="2:5" x14ac:dyDescent="0.25">
      <c r="B123" t="s">
        <v>495</v>
      </c>
      <c r="C123" t="s">
        <v>515</v>
      </c>
      <c r="D123" t="s">
        <v>510</v>
      </c>
    </row>
    <row r="124" spans="2:5" x14ac:dyDescent="0.25">
      <c r="B124" t="s">
        <v>503</v>
      </c>
      <c r="C124" t="s">
        <v>536</v>
      </c>
      <c r="D124" t="s">
        <v>562</v>
      </c>
    </row>
    <row r="126" spans="2:5" x14ac:dyDescent="0.25">
      <c r="B126" t="s">
        <v>545</v>
      </c>
      <c r="D126" t="s">
        <v>128</v>
      </c>
    </row>
    <row r="127" spans="2:5" x14ac:dyDescent="0.25">
      <c r="B127" t="s">
        <v>496</v>
      </c>
    </row>
    <row r="128" spans="2:5" x14ac:dyDescent="0.25">
      <c r="B128" t="s">
        <v>187</v>
      </c>
      <c r="C128" t="s">
        <v>188</v>
      </c>
      <c r="D128" t="s">
        <v>169</v>
      </c>
      <c r="E128" t="s">
        <v>166</v>
      </c>
    </row>
    <row r="129" spans="1:4" x14ac:dyDescent="0.25">
      <c r="B129" t="s">
        <v>546</v>
      </c>
    </row>
    <row r="130" spans="1:4" x14ac:dyDescent="0.25">
      <c r="B130" t="s">
        <v>547</v>
      </c>
    </row>
    <row r="132" spans="1:4" x14ac:dyDescent="0.25">
      <c r="A132" t="s">
        <v>352</v>
      </c>
    </row>
    <row r="133" spans="1:4" x14ac:dyDescent="0.25">
      <c r="B133" t="s">
        <v>354</v>
      </c>
      <c r="C133" t="s">
        <v>346</v>
      </c>
      <c r="D133" t="s">
        <v>355</v>
      </c>
    </row>
    <row r="134" spans="1:4" x14ac:dyDescent="0.25">
      <c r="B134" t="s">
        <v>357</v>
      </c>
      <c r="D134" t="s">
        <v>356</v>
      </c>
    </row>
    <row r="138" spans="1:4" x14ac:dyDescent="0.25">
      <c r="A138" t="s">
        <v>494</v>
      </c>
    </row>
    <row r="139" spans="1:4" x14ac:dyDescent="0.25">
      <c r="A139" t="s">
        <v>491</v>
      </c>
      <c r="B139" t="s">
        <v>600</v>
      </c>
      <c r="C139" t="s">
        <v>485</v>
      </c>
      <c r="D139" t="s">
        <v>484</v>
      </c>
    </row>
    <row r="140" spans="1:4" x14ac:dyDescent="0.25">
      <c r="B140" t="s">
        <v>531</v>
      </c>
      <c r="C140" t="s">
        <v>533</v>
      </c>
      <c r="D140" t="s">
        <v>508</v>
      </c>
    </row>
    <row r="141" spans="1:4" x14ac:dyDescent="0.25">
      <c r="B141" t="s">
        <v>532</v>
      </c>
      <c r="C141" t="s">
        <v>534</v>
      </c>
      <c r="D141" t="s">
        <v>535</v>
      </c>
    </row>
    <row r="142" spans="1:4" x14ac:dyDescent="0.25">
      <c r="B142" t="s">
        <v>480</v>
      </c>
      <c r="C142" t="s">
        <v>504</v>
      </c>
      <c r="D142" t="s">
        <v>505</v>
      </c>
    </row>
    <row r="143" spans="1:4" x14ac:dyDescent="0.25">
      <c r="B143" t="s">
        <v>481</v>
      </c>
      <c r="C143" t="s">
        <v>548</v>
      </c>
      <c r="D143" t="s">
        <v>508</v>
      </c>
    </row>
    <row r="144" spans="1:4" x14ac:dyDescent="0.25">
      <c r="B144" t="s">
        <v>482</v>
      </c>
      <c r="C144" t="s">
        <v>507</v>
      </c>
      <c r="D144" t="s">
        <v>508</v>
      </c>
    </row>
    <row r="145" spans="2:4" x14ac:dyDescent="0.25">
      <c r="B145" t="s">
        <v>483</v>
      </c>
      <c r="C145" t="s">
        <v>509</v>
      </c>
      <c r="D145" t="s">
        <v>510</v>
      </c>
    </row>
    <row r="148" spans="2:4" x14ac:dyDescent="0.25">
      <c r="B148" t="s">
        <v>539</v>
      </c>
      <c r="C148" t="s">
        <v>544</v>
      </c>
      <c r="D148" t="s">
        <v>541</v>
      </c>
    </row>
    <row r="149" spans="2:4" x14ac:dyDescent="0.25">
      <c r="B149" t="s">
        <v>540</v>
      </c>
      <c r="C149" t="s">
        <v>543</v>
      </c>
      <c r="D149" t="s">
        <v>542</v>
      </c>
    </row>
    <row r="150" spans="2:4" x14ac:dyDescent="0.25">
      <c r="B150" t="s">
        <v>498</v>
      </c>
      <c r="C150" t="s">
        <v>502</v>
      </c>
      <c r="D150" t="s">
        <v>501</v>
      </c>
    </row>
    <row r="151" spans="2:4" x14ac:dyDescent="0.25">
      <c r="B151" t="s">
        <v>186</v>
      </c>
      <c r="C151" t="s">
        <v>517</v>
      </c>
      <c r="D151" t="s">
        <v>516</v>
      </c>
    </row>
    <row r="152" spans="2:4" x14ac:dyDescent="0.25">
      <c r="B152" t="s">
        <v>537</v>
      </c>
      <c r="C152" t="s">
        <v>538</v>
      </c>
    </row>
    <row r="156" spans="2:4" x14ac:dyDescent="0.25">
      <c r="B156" t="s">
        <v>518</v>
      </c>
      <c r="C156" t="s">
        <v>519</v>
      </c>
      <c r="D156" t="s">
        <v>520</v>
      </c>
    </row>
    <row r="157" spans="2:4" x14ac:dyDescent="0.25">
      <c r="B157" t="s">
        <v>521</v>
      </c>
      <c r="C157" t="s">
        <v>522</v>
      </c>
      <c r="D157" t="s">
        <v>520</v>
      </c>
    </row>
    <row r="160" spans="2:4" x14ac:dyDescent="0.25">
      <c r="B160" t="s">
        <v>549</v>
      </c>
      <c r="C160" t="s">
        <v>554</v>
      </c>
      <c r="D160" t="s">
        <v>555</v>
      </c>
    </row>
    <row r="161" spans="1:4" x14ac:dyDescent="0.25">
      <c r="B161" t="s">
        <v>553</v>
      </c>
      <c r="C161" t="s">
        <v>556</v>
      </c>
      <c r="D161" t="s">
        <v>555</v>
      </c>
    </row>
    <row r="162" spans="1:4" x14ac:dyDescent="0.25">
      <c r="B162" t="s">
        <v>550</v>
      </c>
      <c r="C162" t="s">
        <v>557</v>
      </c>
      <c r="D162" t="s">
        <v>555</v>
      </c>
    </row>
    <row r="163" spans="1:4" x14ac:dyDescent="0.25">
      <c r="B163" t="s">
        <v>551</v>
      </c>
      <c r="C163" t="s">
        <v>558</v>
      </c>
      <c r="D163" t="s">
        <v>555</v>
      </c>
    </row>
    <row r="164" spans="1:4" x14ac:dyDescent="0.25">
      <c r="B164" t="s">
        <v>552</v>
      </c>
      <c r="C164" t="s">
        <v>559</v>
      </c>
      <c r="D164" t="s">
        <v>560</v>
      </c>
    </row>
    <row r="171" spans="1:4" x14ac:dyDescent="0.25">
      <c r="A171" t="s">
        <v>821</v>
      </c>
    </row>
    <row r="173" spans="1:4" x14ac:dyDescent="0.25">
      <c r="B173" t="s">
        <v>814</v>
      </c>
      <c r="C173" t="s">
        <v>815</v>
      </c>
      <c r="D173" t="s">
        <v>262</v>
      </c>
    </row>
    <row r="174" spans="1:4" x14ac:dyDescent="0.25">
      <c r="B174" t="s">
        <v>816</v>
      </c>
      <c r="C174" t="s">
        <v>817</v>
      </c>
      <c r="D174" t="s">
        <v>822</v>
      </c>
    </row>
    <row r="175" spans="1:4" x14ac:dyDescent="0.25">
      <c r="B175" t="s">
        <v>818</v>
      </c>
      <c r="C175" t="s">
        <v>819</v>
      </c>
      <c r="D175" t="s">
        <v>820</v>
      </c>
    </row>
    <row r="176" spans="1:4" x14ac:dyDescent="0.25">
      <c r="B176" t="s">
        <v>824</v>
      </c>
      <c r="C176" t="s">
        <v>826</v>
      </c>
      <c r="D176" t="s">
        <v>827</v>
      </c>
    </row>
    <row r="177" spans="1:4" x14ac:dyDescent="0.25">
      <c r="B177" t="s">
        <v>825</v>
      </c>
    </row>
    <row r="181" spans="1:4" x14ac:dyDescent="0.25">
      <c r="A181" t="s">
        <v>1012</v>
      </c>
    </row>
    <row r="182" spans="1:4" x14ac:dyDescent="0.25">
      <c r="A182" t="s">
        <v>491</v>
      </c>
      <c r="B182" t="s">
        <v>1013</v>
      </c>
      <c r="C182" t="s">
        <v>1014</v>
      </c>
      <c r="D182" t="s">
        <v>510</v>
      </c>
    </row>
    <row r="183" spans="1:4" x14ac:dyDescent="0.25">
      <c r="B183" t="s">
        <v>993</v>
      </c>
      <c r="C183" t="s">
        <v>1015</v>
      </c>
      <c r="D183" t="s">
        <v>931</v>
      </c>
    </row>
    <row r="184" spans="1:4" x14ac:dyDescent="0.25">
      <c r="B184" t="s">
        <v>994</v>
      </c>
      <c r="C184" t="s">
        <v>1041</v>
      </c>
      <c r="D184" t="s">
        <v>1031</v>
      </c>
    </row>
    <row r="185" spans="1:4" x14ac:dyDescent="0.25">
      <c r="B185" t="s">
        <v>990</v>
      </c>
      <c r="C185" t="s">
        <v>1040</v>
      </c>
      <c r="D185" t="s">
        <v>1027</v>
      </c>
    </row>
    <row r="186" spans="1:4" x14ac:dyDescent="0.25">
      <c r="B186" t="s">
        <v>991</v>
      </c>
      <c r="C186" t="s">
        <v>1036</v>
      </c>
      <c r="D186" t="s">
        <v>1037</v>
      </c>
    </row>
    <row r="187" spans="1:4" x14ac:dyDescent="0.25">
      <c r="B187" t="s">
        <v>992</v>
      </c>
      <c r="C187" t="s">
        <v>1038</v>
      </c>
      <c r="D187" t="s">
        <v>1039</v>
      </c>
    </row>
    <row r="188" spans="1:4" x14ac:dyDescent="0.25">
      <c r="B188" t="s">
        <v>1008</v>
      </c>
      <c r="C188" t="s">
        <v>1049</v>
      </c>
      <c r="D188" t="s">
        <v>1027</v>
      </c>
    </row>
    <row r="189" spans="1:4" x14ac:dyDescent="0.25">
      <c r="B189" t="s">
        <v>1009</v>
      </c>
      <c r="C189" t="s">
        <v>1050</v>
      </c>
      <c r="D189" t="s">
        <v>1028</v>
      </c>
    </row>
    <row r="190" spans="1:4" x14ac:dyDescent="0.25">
      <c r="B190" t="s">
        <v>1016</v>
      </c>
      <c r="C190" t="s">
        <v>1051</v>
      </c>
      <c r="D190" t="s">
        <v>1029</v>
      </c>
    </row>
    <row r="191" spans="1:4" x14ac:dyDescent="0.25">
      <c r="B191" t="s">
        <v>1017</v>
      </c>
      <c r="C191" t="s">
        <v>1052</v>
      </c>
      <c r="D191" t="s">
        <v>1030</v>
      </c>
    </row>
    <row r="192" spans="1:4" x14ac:dyDescent="0.25">
      <c r="B192" t="s">
        <v>1010</v>
      </c>
      <c r="C192" t="s">
        <v>1053</v>
      </c>
      <c r="D192" t="s">
        <v>1031</v>
      </c>
    </row>
    <row r="193" spans="2:4" x14ac:dyDescent="0.25">
      <c r="B193" t="s">
        <v>1011</v>
      </c>
    </row>
    <row r="194" spans="2:4" x14ac:dyDescent="0.25">
      <c r="B194" t="s">
        <v>945</v>
      </c>
      <c r="C194" t="s">
        <v>1034</v>
      </c>
      <c r="D194" t="s">
        <v>1033</v>
      </c>
    </row>
    <row r="195" spans="2:4" x14ac:dyDescent="0.25">
      <c r="B195" t="s">
        <v>946</v>
      </c>
      <c r="C195" t="s">
        <v>1032</v>
      </c>
      <c r="D195" t="s">
        <v>1033</v>
      </c>
    </row>
    <row r="196" spans="2:4" x14ac:dyDescent="0.25">
      <c r="B196" t="s">
        <v>944</v>
      </c>
      <c r="C196" t="s">
        <v>1035</v>
      </c>
      <c r="D196" t="s">
        <v>1031</v>
      </c>
    </row>
    <row r="197" spans="2:4" x14ac:dyDescent="0.25">
      <c r="B197" t="s">
        <v>1018</v>
      </c>
    </row>
    <row r="198" spans="2:4" x14ac:dyDescent="0.25">
      <c r="B198" t="s">
        <v>1019</v>
      </c>
    </row>
    <row r="199" spans="2:4" x14ac:dyDescent="0.25">
      <c r="B199" t="s">
        <v>1020</v>
      </c>
      <c r="C199" t="s">
        <v>1042</v>
      </c>
      <c r="D199" t="s">
        <v>931</v>
      </c>
    </row>
    <row r="200" spans="2:4" x14ac:dyDescent="0.25">
      <c r="B200" t="s">
        <v>1043</v>
      </c>
      <c r="C200" t="s">
        <v>1021</v>
      </c>
      <c r="D200" t="s">
        <v>510</v>
      </c>
    </row>
    <row r="201" spans="2:4" x14ac:dyDescent="0.25">
      <c r="B201" t="s">
        <v>1044</v>
      </c>
      <c r="C201" t="s">
        <v>1022</v>
      </c>
      <c r="D201" t="s">
        <v>510</v>
      </c>
    </row>
    <row r="202" spans="2:4" x14ac:dyDescent="0.25">
      <c r="B202" t="s">
        <v>1045</v>
      </c>
      <c r="C202" t="s">
        <v>1023</v>
      </c>
      <c r="D202" t="s">
        <v>510</v>
      </c>
    </row>
    <row r="203" spans="2:4" x14ac:dyDescent="0.25">
      <c r="B203" t="s">
        <v>1046</v>
      </c>
      <c r="C203" t="s">
        <v>1024</v>
      </c>
      <c r="D203" t="s">
        <v>510</v>
      </c>
    </row>
    <row r="204" spans="2:4" x14ac:dyDescent="0.25">
      <c r="B204" t="s">
        <v>1047</v>
      </c>
      <c r="C204" t="s">
        <v>1025</v>
      </c>
      <c r="D204" t="s">
        <v>510</v>
      </c>
    </row>
    <row r="205" spans="2:4" x14ac:dyDescent="0.25">
      <c r="B205" t="s">
        <v>1048</v>
      </c>
      <c r="C205" t="s">
        <v>1026</v>
      </c>
      <c r="D205" t="s">
        <v>510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CF0BF-D03E-4A10-B639-AF8B40F75B1D}">
  <dimension ref="A1:E18"/>
  <sheetViews>
    <sheetView topLeftCell="A10" workbookViewId="0">
      <selection activeCell="C38" sqref="C38"/>
    </sheetView>
  </sheetViews>
  <sheetFormatPr defaultRowHeight="15" x14ac:dyDescent="0.25"/>
  <sheetData>
    <row r="1" spans="1:5" x14ac:dyDescent="0.25">
      <c r="A1" t="s">
        <v>849</v>
      </c>
    </row>
    <row r="3" spans="1:5" x14ac:dyDescent="0.25">
      <c r="A3" t="s">
        <v>848</v>
      </c>
    </row>
    <row r="4" spans="1:5" x14ac:dyDescent="0.25">
      <c r="B4" t="s">
        <v>847</v>
      </c>
    </row>
    <row r="5" spans="1:5" x14ac:dyDescent="0.25">
      <c r="C5" t="s">
        <v>846</v>
      </c>
    </row>
    <row r="7" spans="1:5" x14ac:dyDescent="0.25">
      <c r="B7" t="s">
        <v>845</v>
      </c>
    </row>
    <row r="9" spans="1:5" x14ac:dyDescent="0.25">
      <c r="B9" t="s">
        <v>837</v>
      </c>
      <c r="D9" t="s">
        <v>836</v>
      </c>
    </row>
    <row r="10" spans="1:5" x14ac:dyDescent="0.25">
      <c r="B10" t="s">
        <v>844</v>
      </c>
      <c r="D10" t="s">
        <v>843</v>
      </c>
    </row>
    <row r="11" spans="1:5" x14ac:dyDescent="0.25">
      <c r="B11" t="s">
        <v>842</v>
      </c>
      <c r="D11" t="s">
        <v>841</v>
      </c>
    </row>
    <row r="12" spans="1:5" x14ac:dyDescent="0.25">
      <c r="B12" t="s">
        <v>840</v>
      </c>
      <c r="D12" t="s">
        <v>839</v>
      </c>
      <c r="E12">
        <f>3*(100/20)*(20/10000)*0.5</f>
        <v>1.4999999999999999E-2</v>
      </c>
    </row>
    <row r="13" spans="1:5" x14ac:dyDescent="0.25">
      <c r="A13" t="s">
        <v>838</v>
      </c>
    </row>
    <row r="14" spans="1:5" x14ac:dyDescent="0.25">
      <c r="B14" t="s">
        <v>837</v>
      </c>
      <c r="D14" t="s">
        <v>836</v>
      </c>
    </row>
    <row r="15" spans="1:5" x14ac:dyDescent="0.25">
      <c r="B15" t="s">
        <v>835</v>
      </c>
      <c r="D15" t="s">
        <v>834</v>
      </c>
    </row>
    <row r="16" spans="1:5" x14ac:dyDescent="0.25">
      <c r="B16" t="s">
        <v>833</v>
      </c>
      <c r="D16" t="s">
        <v>832</v>
      </c>
    </row>
    <row r="17" spans="2:4" x14ac:dyDescent="0.25">
      <c r="B17" t="s">
        <v>831</v>
      </c>
      <c r="D17" t="s">
        <v>830</v>
      </c>
    </row>
    <row r="18" spans="2:4" x14ac:dyDescent="0.25">
      <c r="B18" t="s">
        <v>829</v>
      </c>
      <c r="D18" t="s">
        <v>828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75CB2-F543-4987-8AF3-43E0360F2ACF}">
  <dimension ref="A1:F168"/>
  <sheetViews>
    <sheetView topLeftCell="A163" workbookViewId="0">
      <selection activeCell="F169" sqref="F169"/>
    </sheetView>
  </sheetViews>
  <sheetFormatPr defaultRowHeight="15" x14ac:dyDescent="0.25"/>
  <cols>
    <col min="2" max="2" width="35.42578125" customWidth="1"/>
    <col min="3" max="4" width="9.140625" customWidth="1"/>
    <col min="12" max="12" width="12" bestFit="1" customWidth="1"/>
  </cols>
  <sheetData>
    <row r="1" spans="1:4" x14ac:dyDescent="0.25">
      <c r="A1" t="s">
        <v>363</v>
      </c>
    </row>
    <row r="2" spans="1:4" x14ac:dyDescent="0.25">
      <c r="B2" t="s">
        <v>379</v>
      </c>
      <c r="C2" t="s">
        <v>380</v>
      </c>
    </row>
    <row r="3" spans="1:4" x14ac:dyDescent="0.25">
      <c r="C3" t="s">
        <v>381</v>
      </c>
    </row>
    <row r="4" spans="1:4" x14ac:dyDescent="0.25">
      <c r="C4" t="s">
        <v>382</v>
      </c>
    </row>
    <row r="5" spans="1:4" x14ac:dyDescent="0.25">
      <c r="C5" t="s">
        <v>383</v>
      </c>
    </row>
    <row r="6" spans="1:4" x14ac:dyDescent="0.25">
      <c r="D6" t="s">
        <v>384</v>
      </c>
    </row>
    <row r="7" spans="1:4" x14ac:dyDescent="0.25">
      <c r="D7" t="s">
        <v>385</v>
      </c>
    </row>
    <row r="8" spans="1:4" x14ac:dyDescent="0.25">
      <c r="D8" t="s">
        <v>390</v>
      </c>
    </row>
    <row r="9" spans="1:4" x14ac:dyDescent="0.25">
      <c r="C9" t="s">
        <v>386</v>
      </c>
    </row>
    <row r="11" spans="1:4" x14ac:dyDescent="0.25">
      <c r="B11" t="s">
        <v>358</v>
      </c>
      <c r="C11" t="s">
        <v>359</v>
      </c>
    </row>
    <row r="12" spans="1:4" x14ac:dyDescent="0.25">
      <c r="C12" t="s">
        <v>360</v>
      </c>
    </row>
    <row r="13" spans="1:4" x14ac:dyDescent="0.25">
      <c r="B13" t="s">
        <v>361</v>
      </c>
      <c r="C13" t="s">
        <v>362</v>
      </c>
    </row>
    <row r="14" spans="1:4" x14ac:dyDescent="0.25">
      <c r="C14" t="s">
        <v>368</v>
      </c>
    </row>
    <row r="15" spans="1:4" x14ac:dyDescent="0.25">
      <c r="C15" t="s">
        <v>369</v>
      </c>
    </row>
    <row r="20" spans="2:4" x14ac:dyDescent="0.25">
      <c r="B20" t="s">
        <v>364</v>
      </c>
      <c r="C20" t="s">
        <v>365</v>
      </c>
    </row>
    <row r="21" spans="2:4" x14ac:dyDescent="0.25">
      <c r="C21" t="s">
        <v>366</v>
      </c>
    </row>
    <row r="22" spans="2:4" x14ac:dyDescent="0.25">
      <c r="C22" t="s">
        <v>367</v>
      </c>
    </row>
    <row r="23" spans="2:4" x14ac:dyDescent="0.25">
      <c r="C23" t="s">
        <v>25</v>
      </c>
      <c r="D23" t="s">
        <v>370</v>
      </c>
    </row>
    <row r="24" spans="2:4" x14ac:dyDescent="0.25">
      <c r="C24">
        <v>0</v>
      </c>
      <c r="D24" t="s">
        <v>371</v>
      </c>
    </row>
    <row r="25" spans="2:4" x14ac:dyDescent="0.25">
      <c r="C25">
        <v>0.4</v>
      </c>
      <c r="D25" t="s">
        <v>376</v>
      </c>
    </row>
    <row r="26" spans="2:4" x14ac:dyDescent="0.25">
      <c r="C26">
        <v>0.65</v>
      </c>
      <c r="D26" t="s">
        <v>372</v>
      </c>
    </row>
    <row r="27" spans="2:4" x14ac:dyDescent="0.25">
      <c r="C27">
        <v>1</v>
      </c>
      <c r="D27" t="s">
        <v>375</v>
      </c>
    </row>
    <row r="28" spans="2:4" x14ac:dyDescent="0.25">
      <c r="C28" t="s">
        <v>373</v>
      </c>
      <c r="D28" t="s">
        <v>374</v>
      </c>
    </row>
    <row r="30" spans="2:4" x14ac:dyDescent="0.25">
      <c r="C30" t="s">
        <v>790</v>
      </c>
    </row>
    <row r="31" spans="2:4" x14ac:dyDescent="0.25">
      <c r="C31" t="s">
        <v>791</v>
      </c>
    </row>
    <row r="33" spans="2:5" x14ac:dyDescent="0.25">
      <c r="C33" t="s">
        <v>792</v>
      </c>
    </row>
    <row r="34" spans="2:5" x14ac:dyDescent="0.25">
      <c r="E34" t="s">
        <v>793</v>
      </c>
    </row>
    <row r="37" spans="2:5" x14ac:dyDescent="0.25">
      <c r="B37" t="s">
        <v>387</v>
      </c>
      <c r="C37" t="s">
        <v>389</v>
      </c>
    </row>
    <row r="39" spans="2:5" x14ac:dyDescent="0.25">
      <c r="C39" t="s">
        <v>388</v>
      </c>
    </row>
    <row r="42" spans="2:5" x14ac:dyDescent="0.25">
      <c r="B42" t="s">
        <v>417</v>
      </c>
      <c r="C42" t="s">
        <v>424</v>
      </c>
    </row>
    <row r="43" spans="2:5" x14ac:dyDescent="0.25">
      <c r="C43" t="s">
        <v>418</v>
      </c>
    </row>
    <row r="44" spans="2:5" x14ac:dyDescent="0.25">
      <c r="D44" t="s">
        <v>456</v>
      </c>
    </row>
    <row r="46" spans="2:5" x14ac:dyDescent="0.25">
      <c r="C46" t="s">
        <v>794</v>
      </c>
    </row>
    <row r="50" spans="2:4" x14ac:dyDescent="0.25">
      <c r="B50" t="s">
        <v>450</v>
      </c>
      <c r="C50" t="s">
        <v>451</v>
      </c>
    </row>
    <row r="51" spans="2:4" x14ac:dyDescent="0.25">
      <c r="C51" t="s">
        <v>452</v>
      </c>
    </row>
    <row r="52" spans="2:4" x14ac:dyDescent="0.25">
      <c r="D52" t="s">
        <v>453</v>
      </c>
    </row>
    <row r="55" spans="2:4" x14ac:dyDescent="0.25">
      <c r="B55" t="s">
        <v>444</v>
      </c>
      <c r="C55" t="s">
        <v>445</v>
      </c>
    </row>
    <row r="56" spans="2:4" x14ac:dyDescent="0.25">
      <c r="C56" t="s">
        <v>446</v>
      </c>
    </row>
    <row r="57" spans="2:4" x14ac:dyDescent="0.25">
      <c r="C57" t="s">
        <v>447</v>
      </c>
    </row>
    <row r="58" spans="2:4" x14ac:dyDescent="0.25">
      <c r="D58" s="2" t="s">
        <v>454</v>
      </c>
    </row>
    <row r="59" spans="2:4" x14ac:dyDescent="0.25">
      <c r="D59" s="2" t="s">
        <v>455</v>
      </c>
    </row>
    <row r="63" spans="2:4" x14ac:dyDescent="0.25">
      <c r="B63" t="s">
        <v>448</v>
      </c>
      <c r="C63" t="s">
        <v>449</v>
      </c>
    </row>
    <row r="68" spans="2:5" x14ac:dyDescent="0.25">
      <c r="B68" t="s">
        <v>566</v>
      </c>
      <c r="C68" t="s">
        <v>569</v>
      </c>
    </row>
    <row r="69" spans="2:5" x14ac:dyDescent="0.25">
      <c r="C69" t="s">
        <v>567</v>
      </c>
    </row>
    <row r="70" spans="2:5" x14ac:dyDescent="0.25">
      <c r="C70" t="s">
        <v>568</v>
      </c>
    </row>
    <row r="71" spans="2:5" x14ac:dyDescent="0.25">
      <c r="D71" s="2" t="s">
        <v>571</v>
      </c>
    </row>
    <row r="72" spans="2:5" x14ac:dyDescent="0.25">
      <c r="C72" t="s">
        <v>570</v>
      </c>
    </row>
    <row r="73" spans="2:5" x14ac:dyDescent="0.25">
      <c r="C73" t="s">
        <v>1070</v>
      </c>
    </row>
    <row r="74" spans="2:5" x14ac:dyDescent="0.25">
      <c r="E74" t="s">
        <v>1071</v>
      </c>
    </row>
    <row r="75" spans="2:5" x14ac:dyDescent="0.25">
      <c r="E75" t="s">
        <v>1072</v>
      </c>
    </row>
    <row r="76" spans="2:5" x14ac:dyDescent="0.25">
      <c r="E76" t="s">
        <v>1073</v>
      </c>
    </row>
    <row r="77" spans="2:5" x14ac:dyDescent="0.25">
      <c r="E77" t="s">
        <v>1074</v>
      </c>
    </row>
    <row r="79" spans="2:5" x14ac:dyDescent="0.25">
      <c r="C79" t="s">
        <v>572</v>
      </c>
    </row>
    <row r="81" spans="2:5" x14ac:dyDescent="0.25">
      <c r="D81" t="s">
        <v>573</v>
      </c>
    </row>
    <row r="82" spans="2:5" x14ac:dyDescent="0.25">
      <c r="D82" t="s">
        <v>574</v>
      </c>
    </row>
    <row r="84" spans="2:5" x14ac:dyDescent="0.25">
      <c r="C84" t="s">
        <v>575</v>
      </c>
    </row>
    <row r="85" spans="2:5" x14ac:dyDescent="0.25">
      <c r="D85" s="2" t="s">
        <v>576</v>
      </c>
    </row>
    <row r="88" spans="2:5" x14ac:dyDescent="0.25">
      <c r="B88" t="s">
        <v>577</v>
      </c>
      <c r="C88" t="s">
        <v>578</v>
      </c>
    </row>
    <row r="89" spans="2:5" x14ac:dyDescent="0.25">
      <c r="D89" t="s">
        <v>585</v>
      </c>
    </row>
    <row r="90" spans="2:5" x14ac:dyDescent="0.25">
      <c r="D90" t="s">
        <v>586</v>
      </c>
    </row>
    <row r="94" spans="2:5" x14ac:dyDescent="0.25">
      <c r="C94" t="s">
        <v>581</v>
      </c>
    </row>
    <row r="95" spans="2:5" x14ac:dyDescent="0.25">
      <c r="D95" t="s">
        <v>579</v>
      </c>
    </row>
    <row r="96" spans="2:5" x14ac:dyDescent="0.25">
      <c r="E96" t="s">
        <v>583</v>
      </c>
    </row>
    <row r="97" spans="2:6" x14ac:dyDescent="0.25">
      <c r="F97" t="s">
        <v>580</v>
      </c>
    </row>
    <row r="98" spans="2:6" x14ac:dyDescent="0.25">
      <c r="E98" t="s">
        <v>781</v>
      </c>
    </row>
    <row r="99" spans="2:6" x14ac:dyDescent="0.25">
      <c r="E99" t="s">
        <v>582</v>
      </c>
    </row>
    <row r="102" spans="2:6" x14ac:dyDescent="0.25">
      <c r="C102" t="s">
        <v>584</v>
      </c>
    </row>
    <row r="103" spans="2:6" x14ac:dyDescent="0.25">
      <c r="D103" t="s">
        <v>587</v>
      </c>
    </row>
    <row r="104" spans="2:6" x14ac:dyDescent="0.25">
      <c r="D104" t="s">
        <v>588</v>
      </c>
    </row>
    <row r="105" spans="2:6" x14ac:dyDescent="0.25">
      <c r="D105" t="s">
        <v>599</v>
      </c>
    </row>
    <row r="107" spans="2:6" x14ac:dyDescent="0.25">
      <c r="D107" t="s">
        <v>782</v>
      </c>
    </row>
    <row r="108" spans="2:6" x14ac:dyDescent="0.25">
      <c r="D108" t="s">
        <v>783</v>
      </c>
    </row>
    <row r="109" spans="2:6" x14ac:dyDescent="0.25">
      <c r="C109" s="2" t="s">
        <v>1083</v>
      </c>
    </row>
    <row r="110" spans="2:6" x14ac:dyDescent="0.25">
      <c r="B110" t="s">
        <v>784</v>
      </c>
    </row>
    <row r="111" spans="2:6" x14ac:dyDescent="0.25">
      <c r="C111" t="s">
        <v>785</v>
      </c>
    </row>
    <row r="113" spans="2:5" x14ac:dyDescent="0.25">
      <c r="B113" t="s">
        <v>786</v>
      </c>
    </row>
    <row r="114" spans="2:5" x14ac:dyDescent="0.25">
      <c r="C114" t="s">
        <v>787</v>
      </c>
    </row>
    <row r="115" spans="2:5" x14ac:dyDescent="0.25">
      <c r="C115" t="s">
        <v>789</v>
      </c>
    </row>
    <row r="120" spans="2:5" x14ac:dyDescent="0.25">
      <c r="B120" t="s">
        <v>745</v>
      </c>
      <c r="C120" t="s">
        <v>798</v>
      </c>
    </row>
    <row r="121" spans="2:5" x14ac:dyDescent="0.25">
      <c r="D121" t="s">
        <v>803</v>
      </c>
    </row>
    <row r="122" spans="2:5" x14ac:dyDescent="0.25">
      <c r="E122" t="s">
        <v>799</v>
      </c>
    </row>
    <row r="123" spans="2:5" x14ac:dyDescent="0.25">
      <c r="E123" t="s">
        <v>800</v>
      </c>
    </row>
    <row r="124" spans="2:5" x14ac:dyDescent="0.25">
      <c r="D124" t="s">
        <v>801</v>
      </c>
    </row>
    <row r="125" spans="2:5" x14ac:dyDescent="0.25">
      <c r="E125" t="s">
        <v>802</v>
      </c>
    </row>
    <row r="126" spans="2:5" x14ac:dyDescent="0.25">
      <c r="E126" t="s">
        <v>804</v>
      </c>
    </row>
    <row r="128" spans="2:5" x14ac:dyDescent="0.25">
      <c r="D128" t="s">
        <v>805</v>
      </c>
    </row>
    <row r="129" spans="2:5" x14ac:dyDescent="0.25">
      <c r="E129" t="s">
        <v>806</v>
      </c>
    </row>
    <row r="130" spans="2:5" x14ac:dyDescent="0.25">
      <c r="D130" t="s">
        <v>923</v>
      </c>
    </row>
    <row r="131" spans="2:5" x14ac:dyDescent="0.25">
      <c r="D131" s="2" t="s">
        <v>1124</v>
      </c>
    </row>
    <row r="132" spans="2:5" x14ac:dyDescent="0.25">
      <c r="B132" t="s">
        <v>921</v>
      </c>
    </row>
    <row r="133" spans="2:5" x14ac:dyDescent="0.25">
      <c r="C133" t="s">
        <v>798</v>
      </c>
    </row>
    <row r="134" spans="2:5" x14ac:dyDescent="0.25">
      <c r="D134" t="s">
        <v>1075</v>
      </c>
    </row>
    <row r="135" spans="2:5" x14ac:dyDescent="0.25">
      <c r="D135" t="s">
        <v>1076</v>
      </c>
    </row>
    <row r="137" spans="2:5" x14ac:dyDescent="0.25">
      <c r="D137" t="s">
        <v>1077</v>
      </c>
    </row>
    <row r="138" spans="2:5" x14ac:dyDescent="0.25">
      <c r="D138" t="s">
        <v>1078</v>
      </c>
    </row>
    <row r="139" spans="2:5" x14ac:dyDescent="0.25">
      <c r="D139" t="s">
        <v>1079</v>
      </c>
    </row>
    <row r="140" spans="2:5" x14ac:dyDescent="0.25">
      <c r="D140" t="s">
        <v>1080</v>
      </c>
    </row>
    <row r="142" spans="2:5" x14ac:dyDescent="0.25">
      <c r="D142" s="2" t="s">
        <v>1081</v>
      </c>
    </row>
    <row r="143" spans="2:5" x14ac:dyDescent="0.25">
      <c r="D143" s="2" t="s">
        <v>1082</v>
      </c>
    </row>
    <row r="145" spans="2:5" x14ac:dyDescent="0.25">
      <c r="B145" t="s">
        <v>1088</v>
      </c>
    </row>
    <row r="146" spans="2:5" x14ac:dyDescent="0.25">
      <c r="C146" t="s">
        <v>1085</v>
      </c>
    </row>
    <row r="147" spans="2:5" x14ac:dyDescent="0.25">
      <c r="D147" t="s">
        <v>1086</v>
      </c>
    </row>
    <row r="148" spans="2:5" x14ac:dyDescent="0.25">
      <c r="E148" t="s">
        <v>1087</v>
      </c>
    </row>
    <row r="149" spans="2:5" x14ac:dyDescent="0.25">
      <c r="D149" t="s">
        <v>1089</v>
      </c>
    </row>
    <row r="150" spans="2:5" x14ac:dyDescent="0.25">
      <c r="E150" t="s">
        <v>1090</v>
      </c>
    </row>
    <row r="151" spans="2:5" x14ac:dyDescent="0.25">
      <c r="D151" t="s">
        <v>1091</v>
      </c>
    </row>
    <row r="152" spans="2:5" x14ac:dyDescent="0.25">
      <c r="E152" t="s">
        <v>1092</v>
      </c>
    </row>
    <row r="153" spans="2:5" x14ac:dyDescent="0.25">
      <c r="D153" s="2" t="s">
        <v>1135</v>
      </c>
      <c r="E153" s="2"/>
    </row>
    <row r="154" spans="2:5" x14ac:dyDescent="0.25">
      <c r="D154" s="2"/>
      <c r="E154" s="2" t="s">
        <v>1136</v>
      </c>
    </row>
    <row r="155" spans="2:5" x14ac:dyDescent="0.25">
      <c r="D155" s="2"/>
      <c r="E155" s="2" t="s">
        <v>1137</v>
      </c>
    </row>
    <row r="160" spans="2:5" x14ac:dyDescent="0.25">
      <c r="B160" t="s">
        <v>1111</v>
      </c>
      <c r="C160" t="s">
        <v>1112</v>
      </c>
      <c r="D160" t="s">
        <v>1113</v>
      </c>
    </row>
    <row r="161" spans="3:5" x14ac:dyDescent="0.25">
      <c r="D161" t="s">
        <v>1114</v>
      </c>
    </row>
    <row r="162" spans="3:5" x14ac:dyDescent="0.25">
      <c r="D162" t="s">
        <v>1115</v>
      </c>
    </row>
    <row r="163" spans="3:5" x14ac:dyDescent="0.25">
      <c r="D163" t="s">
        <v>1116</v>
      </c>
    </row>
    <row r="165" spans="3:5" x14ac:dyDescent="0.25">
      <c r="C165" t="s">
        <v>1117</v>
      </c>
    </row>
    <row r="166" spans="3:5" x14ac:dyDescent="0.25">
      <c r="D166" t="s">
        <v>1118</v>
      </c>
    </row>
    <row r="167" spans="3:5" x14ac:dyDescent="0.25">
      <c r="E167" t="s">
        <v>1119</v>
      </c>
    </row>
    <row r="168" spans="3:5" x14ac:dyDescent="0.25">
      <c r="E168" t="s">
        <v>1120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291E9-D320-4C83-98EE-ED66D5DB4118}">
  <dimension ref="A10:M52"/>
  <sheetViews>
    <sheetView topLeftCell="A13" workbookViewId="0">
      <selection activeCell="B46" sqref="B46"/>
    </sheetView>
  </sheetViews>
  <sheetFormatPr defaultRowHeight="15" x14ac:dyDescent="0.25"/>
  <cols>
    <col min="6" max="6" width="31" customWidth="1"/>
    <col min="9" max="9" width="20" customWidth="1"/>
  </cols>
  <sheetData>
    <row r="10" spans="4:13" x14ac:dyDescent="0.25">
      <c r="E10" t="s">
        <v>396</v>
      </c>
      <c r="F10" t="s">
        <v>415</v>
      </c>
      <c r="G10" t="s">
        <v>306</v>
      </c>
      <c r="I10" t="s">
        <v>396</v>
      </c>
      <c r="J10" t="s">
        <v>338</v>
      </c>
    </row>
    <row r="11" spans="4:13" x14ac:dyDescent="0.25">
      <c r="E11" t="s">
        <v>427</v>
      </c>
      <c r="F11" t="s">
        <v>428</v>
      </c>
      <c r="G11" t="s">
        <v>336</v>
      </c>
      <c r="I11" t="s">
        <v>429</v>
      </c>
      <c r="J11" t="s">
        <v>338</v>
      </c>
    </row>
    <row r="12" spans="4:13" x14ac:dyDescent="0.25">
      <c r="E12" t="s">
        <v>334</v>
      </c>
      <c r="F12" t="s">
        <v>335</v>
      </c>
      <c r="G12" t="s">
        <v>336</v>
      </c>
      <c r="I12" t="s">
        <v>337</v>
      </c>
      <c r="J12" t="s">
        <v>262</v>
      </c>
    </row>
    <row r="13" spans="4:13" x14ac:dyDescent="0.25">
      <c r="D13" t="s">
        <v>739</v>
      </c>
      <c r="E13" t="s">
        <v>681</v>
      </c>
      <c r="F13" t="s">
        <v>683</v>
      </c>
      <c r="M13" t="s">
        <v>1054</v>
      </c>
    </row>
    <row r="14" spans="4:13" x14ac:dyDescent="0.25">
      <c r="E14" t="s">
        <v>331</v>
      </c>
      <c r="F14" t="s">
        <v>332</v>
      </c>
      <c r="G14" t="s">
        <v>87</v>
      </c>
      <c r="I14" t="s">
        <v>333</v>
      </c>
      <c r="J14" t="s">
        <v>262</v>
      </c>
      <c r="M14" t="s">
        <v>1055</v>
      </c>
    </row>
    <row r="15" spans="4:13" x14ac:dyDescent="0.25">
      <c r="E15" t="s">
        <v>685</v>
      </c>
      <c r="F15" t="s">
        <v>686</v>
      </c>
      <c r="M15" t="s">
        <v>1056</v>
      </c>
    </row>
    <row r="17" spans="1:13" x14ac:dyDescent="0.25">
      <c r="E17" t="s">
        <v>80</v>
      </c>
      <c r="F17" t="s">
        <v>81</v>
      </c>
      <c r="G17" t="s">
        <v>87</v>
      </c>
      <c r="I17" t="s">
        <v>86</v>
      </c>
      <c r="J17" t="s">
        <v>262</v>
      </c>
    </row>
    <row r="18" spans="1:13" x14ac:dyDescent="0.25">
      <c r="E18" t="s">
        <v>867</v>
      </c>
      <c r="F18" t="s">
        <v>869</v>
      </c>
      <c r="G18" t="s">
        <v>87</v>
      </c>
    </row>
    <row r="19" spans="1:13" x14ac:dyDescent="0.25">
      <c r="E19" t="s">
        <v>45</v>
      </c>
      <c r="F19" t="s">
        <v>79</v>
      </c>
      <c r="G19" t="s">
        <v>87</v>
      </c>
      <c r="I19" t="s">
        <v>84</v>
      </c>
      <c r="J19" t="s">
        <v>262</v>
      </c>
    </row>
    <row r="20" spans="1:13" x14ac:dyDescent="0.25">
      <c r="E20" t="s">
        <v>44</v>
      </c>
      <c r="F20" t="s">
        <v>868</v>
      </c>
      <c r="G20" t="s">
        <v>87</v>
      </c>
      <c r="I20" t="s">
        <v>85</v>
      </c>
    </row>
    <row r="23" spans="1:13" x14ac:dyDescent="0.25">
      <c r="E23" t="s">
        <v>436</v>
      </c>
      <c r="F23" t="s">
        <v>437</v>
      </c>
      <c r="G23" t="s">
        <v>432</v>
      </c>
      <c r="I23" t="s">
        <v>443</v>
      </c>
      <c r="J23" t="s">
        <v>262</v>
      </c>
      <c r="M23" t="s">
        <v>1057</v>
      </c>
    </row>
    <row r="24" spans="1:13" x14ac:dyDescent="0.25">
      <c r="E24" t="s">
        <v>60</v>
      </c>
      <c r="F24" t="s">
        <v>61</v>
      </c>
      <c r="G24" t="s">
        <v>50</v>
      </c>
      <c r="I24" t="s">
        <v>91</v>
      </c>
      <c r="J24" t="s">
        <v>244</v>
      </c>
    </row>
    <row r="27" spans="1:13" x14ac:dyDescent="0.25">
      <c r="M27" t="s">
        <v>1058</v>
      </c>
    </row>
    <row r="28" spans="1:13" x14ac:dyDescent="0.25">
      <c r="M28" t="s">
        <v>1059</v>
      </c>
    </row>
    <row r="29" spans="1:13" x14ac:dyDescent="0.25">
      <c r="M29" t="s">
        <v>1060</v>
      </c>
    </row>
    <row r="30" spans="1:13" x14ac:dyDescent="0.25">
      <c r="M30" t="s">
        <v>1061</v>
      </c>
    </row>
    <row r="32" spans="1:13" x14ac:dyDescent="0.25">
      <c r="A32" t="s">
        <v>1062</v>
      </c>
    </row>
    <row r="33" spans="1:5" x14ac:dyDescent="0.25">
      <c r="B33" t="s">
        <v>1063</v>
      </c>
    </row>
    <row r="35" spans="1:5" x14ac:dyDescent="0.25">
      <c r="B35" t="s">
        <v>1064</v>
      </c>
    </row>
    <row r="36" spans="1:5" x14ac:dyDescent="0.25">
      <c r="C36" t="s">
        <v>1065</v>
      </c>
    </row>
    <row r="37" spans="1:5" x14ac:dyDescent="0.25">
      <c r="D37" t="s">
        <v>1066</v>
      </c>
    </row>
    <row r="38" spans="1:5" x14ac:dyDescent="0.25">
      <c r="E38" t="s">
        <v>1067</v>
      </c>
    </row>
    <row r="39" spans="1:5" x14ac:dyDescent="0.25">
      <c r="E39" t="s">
        <v>1068</v>
      </c>
    </row>
    <row r="42" spans="1:5" x14ac:dyDescent="0.25">
      <c r="A42" t="s">
        <v>1129</v>
      </c>
      <c r="B42">
        <v>0.08</v>
      </c>
    </row>
    <row r="43" spans="1:5" x14ac:dyDescent="0.25">
      <c r="A43" t="s">
        <v>1130</v>
      </c>
      <c r="B43">
        <v>2.5000000000000001E-2</v>
      </c>
    </row>
    <row r="44" spans="1:5" x14ac:dyDescent="0.25">
      <c r="A44" t="s">
        <v>1131</v>
      </c>
      <c r="B44">
        <v>7.0000000000000007E-2</v>
      </c>
    </row>
    <row r="45" spans="1:5" x14ac:dyDescent="0.25">
      <c r="B45">
        <f>0.9*B44-B43</f>
        <v>3.8000000000000013E-2</v>
      </c>
    </row>
    <row r="46" spans="1:5" x14ac:dyDescent="0.25">
      <c r="B46">
        <f>(B42*0.9-B43)/B45</f>
        <v>1.2368421052631577</v>
      </c>
      <c r="D46" t="s">
        <v>1128</v>
      </c>
      <c r="E46">
        <v>1</v>
      </c>
    </row>
    <row r="48" spans="1:5" x14ac:dyDescent="0.25">
      <c r="D48" t="s">
        <v>1126</v>
      </c>
      <c r="E48">
        <v>4.0000000000000001E-3</v>
      </c>
    </row>
    <row r="49" spans="4:5" x14ac:dyDescent="0.25">
      <c r="D49" t="s">
        <v>1127</v>
      </c>
      <c r="E49">
        <v>8.5000000000000006E-3</v>
      </c>
    </row>
    <row r="52" spans="4:5" x14ac:dyDescent="0.25">
      <c r="D52">
        <f>0.0085-(1-E46)*(E49-E48)</f>
        <v>8.5000000000000006E-3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2947E-3210-4932-A99D-323CAAD77B01}">
  <dimension ref="B2:X65"/>
  <sheetViews>
    <sheetView tabSelected="1" topLeftCell="A39" workbookViewId="0">
      <selection activeCell="F69" sqref="F69"/>
    </sheetView>
  </sheetViews>
  <sheetFormatPr defaultRowHeight="15" x14ac:dyDescent="0.25"/>
  <cols>
    <col min="20" max="20" width="12" bestFit="1" customWidth="1"/>
    <col min="21" max="21" width="11" bestFit="1" customWidth="1"/>
    <col min="23" max="23" width="12" bestFit="1" customWidth="1"/>
  </cols>
  <sheetData>
    <row r="2" spans="2:5" x14ac:dyDescent="0.25">
      <c r="B2" t="s">
        <v>563</v>
      </c>
    </row>
    <row r="3" spans="2:5" x14ac:dyDescent="0.25">
      <c r="C3" t="s">
        <v>608</v>
      </c>
    </row>
    <row r="4" spans="2:5" x14ac:dyDescent="0.25">
      <c r="C4" t="s">
        <v>609</v>
      </c>
    </row>
    <row r="5" spans="2:5" x14ac:dyDescent="0.25">
      <c r="C5" t="s">
        <v>610</v>
      </c>
    </row>
    <row r="6" spans="2:5" x14ac:dyDescent="0.25">
      <c r="C6" t="s">
        <v>611</v>
      </c>
    </row>
    <row r="7" spans="2:5" x14ac:dyDescent="0.25">
      <c r="D7" t="s">
        <v>612</v>
      </c>
    </row>
    <row r="8" spans="2:5" x14ac:dyDescent="0.25">
      <c r="D8" t="s">
        <v>613</v>
      </c>
    </row>
    <row r="10" spans="2:5" x14ac:dyDescent="0.25">
      <c r="E10" t="s">
        <v>617</v>
      </c>
    </row>
    <row r="13" spans="2:5" x14ac:dyDescent="0.25">
      <c r="C13" t="s">
        <v>614</v>
      </c>
    </row>
    <row r="14" spans="2:5" x14ac:dyDescent="0.25">
      <c r="D14" t="s">
        <v>615</v>
      </c>
    </row>
    <row r="15" spans="2:5" x14ac:dyDescent="0.25">
      <c r="E15" t="s">
        <v>616</v>
      </c>
    </row>
    <row r="17" spans="2:8" x14ac:dyDescent="0.25">
      <c r="C17" t="s">
        <v>564</v>
      </c>
    </row>
    <row r="19" spans="2:8" x14ac:dyDescent="0.25">
      <c r="C19" t="s">
        <v>565</v>
      </c>
    </row>
    <row r="22" spans="2:8" x14ac:dyDescent="0.25">
      <c r="B22" t="s">
        <v>673</v>
      </c>
    </row>
    <row r="24" spans="2:8" x14ac:dyDescent="0.25">
      <c r="C24" t="s">
        <v>687</v>
      </c>
    </row>
    <row r="25" spans="2:8" x14ac:dyDescent="0.25">
      <c r="D25" t="s">
        <v>688</v>
      </c>
    </row>
    <row r="26" spans="2:8" x14ac:dyDescent="0.25">
      <c r="E26">
        <f>50*75</f>
        <v>3750</v>
      </c>
      <c r="H26">
        <f>15*232</f>
        <v>3480</v>
      </c>
    </row>
    <row r="35" spans="2:24" x14ac:dyDescent="0.25">
      <c r="B35" t="s">
        <v>1142</v>
      </c>
    </row>
    <row r="36" spans="2:24" x14ac:dyDescent="0.25">
      <c r="C36" t="s">
        <v>1143</v>
      </c>
    </row>
    <row r="40" spans="2:24" x14ac:dyDescent="0.25">
      <c r="B40" t="s">
        <v>1084</v>
      </c>
    </row>
    <row r="41" spans="2:24" x14ac:dyDescent="0.25">
      <c r="C41" t="s">
        <v>1147</v>
      </c>
    </row>
    <row r="42" spans="2:24" x14ac:dyDescent="0.25">
      <c r="D42" t="s">
        <v>1145</v>
      </c>
    </row>
    <row r="43" spans="2:24" x14ac:dyDescent="0.25">
      <c r="D43" t="s">
        <v>1146</v>
      </c>
    </row>
    <row r="44" spans="2:24" x14ac:dyDescent="0.25">
      <c r="C44" t="s">
        <v>1148</v>
      </c>
    </row>
    <row r="45" spans="2:24" x14ac:dyDescent="0.25">
      <c r="D45" t="s">
        <v>1149</v>
      </c>
      <c r="T45" s="6"/>
      <c r="U45" s="6"/>
      <c r="W45" s="6"/>
      <c r="X45" s="6"/>
    </row>
    <row r="46" spans="2:24" x14ac:dyDescent="0.25">
      <c r="C46" t="s">
        <v>1150</v>
      </c>
      <c r="T46" s="6"/>
      <c r="U46" s="6"/>
      <c r="W46" s="6"/>
      <c r="X46" s="6"/>
    </row>
    <row r="47" spans="2:24" x14ac:dyDescent="0.25">
      <c r="D47" t="s">
        <v>1151</v>
      </c>
      <c r="T47" s="6"/>
      <c r="U47" s="6"/>
      <c r="W47" s="6"/>
      <c r="X47" s="6"/>
    </row>
    <row r="48" spans="2:24" x14ac:dyDescent="0.25">
      <c r="D48" t="s">
        <v>1152</v>
      </c>
      <c r="S48" s="2"/>
      <c r="T48" s="6"/>
      <c r="U48" s="6"/>
      <c r="W48" s="6"/>
      <c r="X48" s="6"/>
    </row>
    <row r="49" spans="4:24" x14ac:dyDescent="0.25">
      <c r="E49" t="s">
        <v>1153</v>
      </c>
      <c r="U49" s="5"/>
      <c r="W49" s="5"/>
    </row>
    <row r="50" spans="4:24" x14ac:dyDescent="0.25">
      <c r="F50" t="s">
        <v>1154</v>
      </c>
    </row>
    <row r="51" spans="4:24" x14ac:dyDescent="0.25">
      <c r="G51" t="s">
        <v>1155</v>
      </c>
      <c r="U51" s="5"/>
      <c r="W51" s="5"/>
      <c r="X51" s="6"/>
    </row>
    <row r="52" spans="4:24" x14ac:dyDescent="0.25">
      <c r="F52" t="s">
        <v>1156</v>
      </c>
    </row>
    <row r="53" spans="4:24" x14ac:dyDescent="0.25">
      <c r="U53" s="5"/>
    </row>
    <row r="54" spans="4:24" x14ac:dyDescent="0.25">
      <c r="F54" t="s">
        <v>1157</v>
      </c>
    </row>
    <row r="55" spans="4:24" x14ac:dyDescent="0.25">
      <c r="E55" t="s">
        <v>1158</v>
      </c>
      <c r="U55" s="5"/>
    </row>
    <row r="56" spans="4:24" x14ac:dyDescent="0.25">
      <c r="E56" t="s">
        <v>1159</v>
      </c>
    </row>
    <row r="58" spans="4:24" x14ac:dyDescent="0.25">
      <c r="E58" t="s">
        <v>1160</v>
      </c>
    </row>
    <row r="60" spans="4:24" x14ac:dyDescent="0.25">
      <c r="D60" t="s">
        <v>1161</v>
      </c>
    </row>
    <row r="62" spans="4:24" x14ac:dyDescent="0.25">
      <c r="E62" t="s">
        <v>1163</v>
      </c>
    </row>
    <row r="63" spans="4:24" x14ac:dyDescent="0.25">
      <c r="D63" s="2" t="s">
        <v>1162</v>
      </c>
    </row>
    <row r="65" spans="4:4" x14ac:dyDescent="0.25">
      <c r="D65" t="s">
        <v>1164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FD4FB-BDFD-4DDF-A261-E270BDBD0100}">
  <dimension ref="B2:E36"/>
  <sheetViews>
    <sheetView topLeftCell="A16" workbookViewId="0">
      <selection activeCell="D31" sqref="D31"/>
    </sheetView>
  </sheetViews>
  <sheetFormatPr defaultRowHeight="15" x14ac:dyDescent="0.25"/>
  <sheetData>
    <row r="2" spans="2:5" x14ac:dyDescent="0.25">
      <c r="B2" t="s">
        <v>754</v>
      </c>
    </row>
    <row r="3" spans="2:5" x14ac:dyDescent="0.25">
      <c r="C3" t="s">
        <v>755</v>
      </c>
    </row>
    <row r="4" spans="2:5" x14ac:dyDescent="0.25">
      <c r="C4" t="s">
        <v>756</v>
      </c>
    </row>
    <row r="5" spans="2:5" x14ac:dyDescent="0.25">
      <c r="D5" t="s">
        <v>757</v>
      </c>
    </row>
    <row r="6" spans="2:5" x14ac:dyDescent="0.25">
      <c r="E6" t="s">
        <v>758</v>
      </c>
    </row>
    <row r="7" spans="2:5" x14ac:dyDescent="0.25">
      <c r="E7" t="s">
        <v>759</v>
      </c>
    </row>
    <row r="9" spans="2:5" x14ac:dyDescent="0.25">
      <c r="E9" t="s">
        <v>760</v>
      </c>
    </row>
    <row r="11" spans="2:5" x14ac:dyDescent="0.25">
      <c r="E11" t="s">
        <v>761</v>
      </c>
    </row>
    <row r="13" spans="2:5" x14ac:dyDescent="0.25">
      <c r="C13" t="s">
        <v>762</v>
      </c>
    </row>
    <row r="14" spans="2:5" x14ac:dyDescent="0.25">
      <c r="D14" t="s">
        <v>763</v>
      </c>
    </row>
    <row r="15" spans="2:5" x14ac:dyDescent="0.25">
      <c r="D15" t="s">
        <v>764</v>
      </c>
    </row>
    <row r="16" spans="2:5" x14ac:dyDescent="0.25">
      <c r="D16" t="s">
        <v>765</v>
      </c>
    </row>
    <row r="17" spans="3:4" x14ac:dyDescent="0.25">
      <c r="D17" t="s">
        <v>766</v>
      </c>
    </row>
    <row r="18" spans="3:4" x14ac:dyDescent="0.25">
      <c r="D18" t="s">
        <v>767</v>
      </c>
    </row>
    <row r="20" spans="3:4" x14ac:dyDescent="0.25">
      <c r="D20" t="s">
        <v>768</v>
      </c>
    </row>
    <row r="22" spans="3:4" x14ac:dyDescent="0.25">
      <c r="C22" t="s">
        <v>769</v>
      </c>
    </row>
    <row r="23" spans="3:4" x14ac:dyDescent="0.25">
      <c r="D23" t="s">
        <v>770</v>
      </c>
    </row>
    <row r="24" spans="3:4" x14ac:dyDescent="0.25">
      <c r="D24" t="s">
        <v>771</v>
      </c>
    </row>
    <row r="25" spans="3:4" x14ac:dyDescent="0.25">
      <c r="D25" t="s">
        <v>772</v>
      </c>
    </row>
    <row r="26" spans="3:4" x14ac:dyDescent="0.25">
      <c r="D26" t="s">
        <v>773</v>
      </c>
    </row>
    <row r="27" spans="3:4" x14ac:dyDescent="0.25">
      <c r="D27" t="s">
        <v>774</v>
      </c>
    </row>
    <row r="30" spans="3:4" x14ac:dyDescent="0.25">
      <c r="C30" t="s">
        <v>775</v>
      </c>
    </row>
    <row r="31" spans="3:4" x14ac:dyDescent="0.25">
      <c r="D31" t="s">
        <v>776</v>
      </c>
    </row>
    <row r="33" spans="3:4" x14ac:dyDescent="0.25">
      <c r="C33" t="s">
        <v>777</v>
      </c>
    </row>
    <row r="34" spans="3:4" x14ac:dyDescent="0.25">
      <c r="D34" t="s">
        <v>778</v>
      </c>
    </row>
    <row r="35" spans="3:4" x14ac:dyDescent="0.25">
      <c r="D35" t="s">
        <v>779</v>
      </c>
    </row>
    <row r="36" spans="3:4" x14ac:dyDescent="0.25">
      <c r="D36" t="s">
        <v>780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8185C-1BB6-4BF6-A0C1-2AFD8E1E9D32}">
  <dimension ref="A1:D43"/>
  <sheetViews>
    <sheetView topLeftCell="A10" workbookViewId="0">
      <selection activeCell="A47" sqref="A47"/>
    </sheetView>
  </sheetViews>
  <sheetFormatPr defaultRowHeight="15" x14ac:dyDescent="0.25"/>
  <cols>
    <col min="2" max="2" width="23" customWidth="1"/>
    <col min="3" max="3" width="18.7109375" customWidth="1"/>
    <col min="4" max="4" width="29.85546875" customWidth="1"/>
  </cols>
  <sheetData>
    <row r="1" spans="1:4" x14ac:dyDescent="0.25">
      <c r="A1" t="s">
        <v>717</v>
      </c>
    </row>
    <row r="3" spans="1:4" x14ac:dyDescent="0.25">
      <c r="B3" t="s">
        <v>707</v>
      </c>
      <c r="C3" t="s">
        <v>706</v>
      </c>
      <c r="D3" t="s">
        <v>718</v>
      </c>
    </row>
    <row r="4" spans="1:4" x14ac:dyDescent="0.25">
      <c r="B4" t="s">
        <v>689</v>
      </c>
      <c r="C4" t="s">
        <v>689</v>
      </c>
      <c r="D4" t="s">
        <v>328</v>
      </c>
    </row>
    <row r="5" spans="1:4" x14ac:dyDescent="0.25">
      <c r="B5" t="s">
        <v>690</v>
      </c>
      <c r="C5" t="s">
        <v>708</v>
      </c>
      <c r="D5" t="s">
        <v>328</v>
      </c>
    </row>
    <row r="6" spans="1:4" x14ac:dyDescent="0.25">
      <c r="B6" t="s">
        <v>691</v>
      </c>
      <c r="C6" t="s">
        <v>709</v>
      </c>
      <c r="D6" t="s">
        <v>719</v>
      </c>
    </row>
    <row r="7" spans="1:4" x14ac:dyDescent="0.25">
      <c r="B7" t="s">
        <v>692</v>
      </c>
      <c r="C7" t="s">
        <v>27</v>
      </c>
      <c r="D7" t="s">
        <v>328</v>
      </c>
    </row>
    <row r="8" spans="1:4" x14ac:dyDescent="0.25">
      <c r="B8" t="s">
        <v>693</v>
      </c>
      <c r="C8" t="s">
        <v>25</v>
      </c>
      <c r="D8" t="s">
        <v>328</v>
      </c>
    </row>
    <row r="9" spans="1:4" x14ac:dyDescent="0.25">
      <c r="B9" t="s">
        <v>694</v>
      </c>
      <c r="C9" t="s">
        <v>710</v>
      </c>
      <c r="D9" t="s">
        <v>177</v>
      </c>
    </row>
    <row r="10" spans="1:4" x14ac:dyDescent="0.25">
      <c r="B10" t="s">
        <v>695</v>
      </c>
      <c r="C10" t="s">
        <v>711</v>
      </c>
      <c r="D10" t="s">
        <v>177</v>
      </c>
    </row>
    <row r="11" spans="1:4" x14ac:dyDescent="0.25">
      <c r="B11" t="s">
        <v>696</v>
      </c>
      <c r="C11" t="s">
        <v>712</v>
      </c>
      <c r="D11" t="s">
        <v>720</v>
      </c>
    </row>
    <row r="12" spans="1:4" x14ac:dyDescent="0.25">
      <c r="B12" t="s">
        <v>187</v>
      </c>
      <c r="C12" t="s">
        <v>187</v>
      </c>
      <c r="D12" t="s">
        <v>169</v>
      </c>
    </row>
    <row r="13" spans="1:4" x14ac:dyDescent="0.25">
      <c r="B13" t="s">
        <v>697</v>
      </c>
      <c r="C13" t="s">
        <v>189</v>
      </c>
      <c r="D13" t="s">
        <v>721</v>
      </c>
    </row>
    <row r="14" spans="1:4" x14ac:dyDescent="0.25">
      <c r="B14" t="s">
        <v>715</v>
      </c>
      <c r="C14" t="s">
        <v>713</v>
      </c>
      <c r="D14" t="s">
        <v>722</v>
      </c>
    </row>
    <row r="15" spans="1:4" x14ac:dyDescent="0.25">
      <c r="B15" t="s">
        <v>716</v>
      </c>
      <c r="C15" t="s">
        <v>714</v>
      </c>
      <c r="D15" t="s">
        <v>722</v>
      </c>
    </row>
    <row r="16" spans="1:4" x14ac:dyDescent="0.25">
      <c r="B16" t="s">
        <v>144</v>
      </c>
      <c r="C16" t="s">
        <v>113</v>
      </c>
      <c r="D16" t="s">
        <v>147</v>
      </c>
    </row>
    <row r="17" spans="1:4" x14ac:dyDescent="0.25">
      <c r="B17" t="s">
        <v>698</v>
      </c>
      <c r="C17" t="s">
        <v>620</v>
      </c>
      <c r="D17" t="s">
        <v>262</v>
      </c>
    </row>
    <row r="18" spans="1:4" x14ac:dyDescent="0.25">
      <c r="B18" t="s">
        <v>699</v>
      </c>
      <c r="C18" t="s">
        <v>82</v>
      </c>
      <c r="D18" t="s">
        <v>262</v>
      </c>
    </row>
    <row r="19" spans="1:4" x14ac:dyDescent="0.25">
      <c r="B19" t="s">
        <v>700</v>
      </c>
      <c r="C19" t="s">
        <v>191</v>
      </c>
      <c r="D19" t="s">
        <v>262</v>
      </c>
    </row>
    <row r="20" spans="1:4" x14ac:dyDescent="0.25">
      <c r="B20" t="s">
        <v>701</v>
      </c>
      <c r="C20" t="s">
        <v>85</v>
      </c>
      <c r="D20" t="s">
        <v>262</v>
      </c>
    </row>
    <row r="21" spans="1:4" x14ac:dyDescent="0.25">
      <c r="B21" t="s">
        <v>702</v>
      </c>
      <c r="C21" t="s">
        <v>83</v>
      </c>
      <c r="D21" t="s">
        <v>262</v>
      </c>
    </row>
    <row r="22" spans="1:4" x14ac:dyDescent="0.25">
      <c r="B22" t="s">
        <v>703</v>
      </c>
      <c r="C22" t="s">
        <v>86</v>
      </c>
      <c r="D22" t="s">
        <v>262</v>
      </c>
    </row>
    <row r="23" spans="1:4" x14ac:dyDescent="0.25">
      <c r="B23" t="s">
        <v>704</v>
      </c>
      <c r="C23" t="s">
        <v>84</v>
      </c>
      <c r="D23" t="s">
        <v>262</v>
      </c>
    </row>
    <row r="24" spans="1:4" x14ac:dyDescent="0.25">
      <c r="B24" t="s">
        <v>705</v>
      </c>
      <c r="C24" t="s">
        <v>333</v>
      </c>
      <c r="D24" t="s">
        <v>262</v>
      </c>
    </row>
    <row r="27" spans="1:4" x14ac:dyDescent="0.25">
      <c r="A27" t="s">
        <v>723</v>
      </c>
    </row>
    <row r="29" spans="1:4" x14ac:dyDescent="0.25">
      <c r="B29" t="s">
        <v>724</v>
      </c>
    </row>
    <row r="30" spans="1:4" x14ac:dyDescent="0.25">
      <c r="B30" t="s">
        <v>690</v>
      </c>
    </row>
    <row r="31" spans="1:4" x14ac:dyDescent="0.25">
      <c r="B31" t="s">
        <v>691</v>
      </c>
    </row>
    <row r="32" spans="1:4" x14ac:dyDescent="0.25">
      <c r="B32" t="s">
        <v>696</v>
      </c>
      <c r="D32" t="s">
        <v>720</v>
      </c>
    </row>
    <row r="33" spans="2:4" x14ac:dyDescent="0.25">
      <c r="B33" t="s">
        <v>725</v>
      </c>
      <c r="D33" t="s">
        <v>172</v>
      </c>
    </row>
    <row r="34" spans="2:4" x14ac:dyDescent="0.25">
      <c r="B34" t="s">
        <v>726</v>
      </c>
      <c r="D34" t="s">
        <v>172</v>
      </c>
    </row>
    <row r="35" spans="2:4" x14ac:dyDescent="0.25">
      <c r="B35" t="s">
        <v>732</v>
      </c>
    </row>
    <row r="36" spans="2:4" x14ac:dyDescent="0.25">
      <c r="B36" t="s">
        <v>733</v>
      </c>
    </row>
    <row r="37" spans="2:4" x14ac:dyDescent="0.25">
      <c r="B37" t="s">
        <v>695</v>
      </c>
      <c r="D37" t="s">
        <v>177</v>
      </c>
    </row>
    <row r="38" spans="2:4" x14ac:dyDescent="0.25">
      <c r="B38" t="s">
        <v>156</v>
      </c>
      <c r="D38" t="s">
        <v>730</v>
      </c>
    </row>
    <row r="39" spans="2:4" x14ac:dyDescent="0.25">
      <c r="B39" t="s">
        <v>157</v>
      </c>
      <c r="D39" t="s">
        <v>731</v>
      </c>
    </row>
    <row r="40" spans="2:4" x14ac:dyDescent="0.25">
      <c r="B40" t="s">
        <v>158</v>
      </c>
      <c r="D40" t="s">
        <v>731</v>
      </c>
    </row>
    <row r="41" spans="2:4" x14ac:dyDescent="0.25">
      <c r="B41" t="s">
        <v>727</v>
      </c>
    </row>
    <row r="42" spans="2:4" x14ac:dyDescent="0.25">
      <c r="B42" t="s">
        <v>728</v>
      </c>
    </row>
    <row r="43" spans="2:4" x14ac:dyDescent="0.25">
      <c r="B43" t="s">
        <v>729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A3641-64B6-4661-A6F2-E0AFBA164B5D}">
  <dimension ref="A2:F31"/>
  <sheetViews>
    <sheetView workbookViewId="0">
      <selection activeCell="A24" sqref="A21:A24"/>
    </sheetView>
  </sheetViews>
  <sheetFormatPr defaultRowHeight="15" x14ac:dyDescent="0.25"/>
  <cols>
    <col min="1" max="1" width="37" customWidth="1"/>
    <col min="2" max="2" width="63.7109375" customWidth="1"/>
    <col min="3" max="3" width="26.140625" customWidth="1"/>
    <col min="4" max="4" width="31" customWidth="1"/>
  </cols>
  <sheetData>
    <row r="2" spans="1:6" x14ac:dyDescent="0.25">
      <c r="A2" t="s">
        <v>882</v>
      </c>
    </row>
    <row r="4" spans="1:6" x14ac:dyDescent="0.25">
      <c r="A4" t="s">
        <v>884</v>
      </c>
      <c r="F4" t="s">
        <v>909</v>
      </c>
    </row>
    <row r="5" spans="1:6" x14ac:dyDescent="0.25">
      <c r="A5" t="s">
        <v>883</v>
      </c>
      <c r="B5" t="s">
        <v>2</v>
      </c>
      <c r="C5" t="s">
        <v>3</v>
      </c>
      <c r="D5" t="s">
        <v>891</v>
      </c>
    </row>
    <row r="6" spans="1:6" x14ac:dyDescent="0.25">
      <c r="A6" t="s">
        <v>885</v>
      </c>
      <c r="B6" t="s">
        <v>887</v>
      </c>
      <c r="C6" t="s">
        <v>730</v>
      </c>
      <c r="D6" t="s">
        <v>892</v>
      </c>
      <c r="F6" t="s">
        <v>910</v>
      </c>
    </row>
    <row r="7" spans="1:6" x14ac:dyDescent="0.25">
      <c r="A7" t="s">
        <v>886</v>
      </c>
      <c r="B7" t="s">
        <v>888</v>
      </c>
      <c r="C7" t="s">
        <v>730</v>
      </c>
      <c r="D7" t="s">
        <v>892</v>
      </c>
    </row>
    <row r="10" spans="1:6" x14ac:dyDescent="0.25">
      <c r="A10" t="s">
        <v>113</v>
      </c>
      <c r="B10" t="s">
        <v>889</v>
      </c>
      <c r="C10" t="s">
        <v>147</v>
      </c>
      <c r="D10" t="s">
        <v>892</v>
      </c>
    </row>
    <row r="11" spans="1:6" x14ac:dyDescent="0.25">
      <c r="A11" t="s">
        <v>114</v>
      </c>
      <c r="B11" t="s">
        <v>890</v>
      </c>
      <c r="C11" t="s">
        <v>177</v>
      </c>
      <c r="D11" t="s">
        <v>893</v>
      </c>
    </row>
    <row r="12" spans="1:6" x14ac:dyDescent="0.25">
      <c r="A12" t="s">
        <v>178</v>
      </c>
      <c r="B12" t="s">
        <v>901</v>
      </c>
      <c r="C12" t="s">
        <v>148</v>
      </c>
      <c r="D12" t="s">
        <v>894</v>
      </c>
    </row>
    <row r="14" spans="1:6" x14ac:dyDescent="0.25">
      <c r="A14" t="s">
        <v>895</v>
      </c>
      <c r="B14" t="s">
        <v>897</v>
      </c>
      <c r="C14" t="s">
        <v>142</v>
      </c>
    </row>
    <row r="15" spans="1:6" x14ac:dyDescent="0.25">
      <c r="A15" t="s">
        <v>896</v>
      </c>
      <c r="B15" t="s">
        <v>898</v>
      </c>
      <c r="C15" t="s">
        <v>142</v>
      </c>
    </row>
    <row r="16" spans="1:6" x14ac:dyDescent="0.25">
      <c r="A16" t="s">
        <v>164</v>
      </c>
      <c r="B16" t="s">
        <v>914</v>
      </c>
      <c r="C16" t="s">
        <v>142</v>
      </c>
      <c r="F16" t="s">
        <v>138</v>
      </c>
    </row>
    <row r="17" spans="1:6" x14ac:dyDescent="0.25">
      <c r="A17" t="s">
        <v>165</v>
      </c>
      <c r="B17" t="s">
        <v>915</v>
      </c>
      <c r="C17" t="s">
        <v>142</v>
      </c>
      <c r="F17" t="s">
        <v>911</v>
      </c>
    </row>
    <row r="22" spans="1:6" x14ac:dyDescent="0.25">
      <c r="A22" t="s">
        <v>117</v>
      </c>
      <c r="B22" t="s">
        <v>899</v>
      </c>
      <c r="C22" t="s">
        <v>148</v>
      </c>
    </row>
    <row r="23" spans="1:6" x14ac:dyDescent="0.25">
      <c r="A23" t="s">
        <v>118</v>
      </c>
      <c r="B23" t="s">
        <v>900</v>
      </c>
      <c r="C23" t="s">
        <v>148</v>
      </c>
    </row>
    <row r="26" spans="1:6" x14ac:dyDescent="0.25">
      <c r="A26" t="s">
        <v>120</v>
      </c>
      <c r="B26" t="s">
        <v>902</v>
      </c>
      <c r="C26" t="s">
        <v>904</v>
      </c>
      <c r="D26" t="s">
        <v>903</v>
      </c>
    </row>
    <row r="27" spans="1:6" x14ac:dyDescent="0.25">
      <c r="A27" t="s">
        <v>905</v>
      </c>
      <c r="B27" t="s">
        <v>906</v>
      </c>
      <c r="C27" t="s">
        <v>907</v>
      </c>
      <c r="D27" t="s">
        <v>908</v>
      </c>
    </row>
    <row r="30" spans="1:6" x14ac:dyDescent="0.25">
      <c r="A30" t="s">
        <v>153</v>
      </c>
      <c r="B30" t="s">
        <v>914</v>
      </c>
      <c r="C30" t="s">
        <v>142</v>
      </c>
      <c r="D30" t="s">
        <v>912</v>
      </c>
      <c r="F30" t="s">
        <v>157</v>
      </c>
    </row>
    <row r="31" spans="1:6" x14ac:dyDescent="0.25">
      <c r="A31" t="s">
        <v>154</v>
      </c>
      <c r="B31" t="s">
        <v>915</v>
      </c>
      <c r="C31" t="s">
        <v>142</v>
      </c>
      <c r="D31" t="s">
        <v>913</v>
      </c>
      <c r="F31" t="s">
        <v>158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8E494-3233-4801-84A3-567784DADF99}">
  <dimension ref="A2:F77"/>
  <sheetViews>
    <sheetView topLeftCell="A49" workbookViewId="0">
      <selection activeCell="D62" sqref="D62"/>
    </sheetView>
  </sheetViews>
  <sheetFormatPr defaultRowHeight="15" x14ac:dyDescent="0.25"/>
  <sheetData>
    <row r="2" spans="2:6" x14ac:dyDescent="0.25">
      <c r="B2" t="s">
        <v>734</v>
      </c>
    </row>
    <row r="3" spans="2:6" x14ac:dyDescent="0.25">
      <c r="B3" t="s">
        <v>747</v>
      </c>
      <c r="C3" t="s">
        <v>740</v>
      </c>
    </row>
    <row r="4" spans="2:6" x14ac:dyDescent="0.25">
      <c r="B4" t="s">
        <v>807</v>
      </c>
      <c r="C4" t="s">
        <v>739</v>
      </c>
      <c r="D4" s="1" t="s">
        <v>742</v>
      </c>
    </row>
    <row r="5" spans="2:6" x14ac:dyDescent="0.25">
      <c r="E5" t="s">
        <v>743</v>
      </c>
    </row>
    <row r="6" spans="2:6" x14ac:dyDescent="0.25">
      <c r="E6" t="s">
        <v>744</v>
      </c>
    </row>
    <row r="7" spans="2:6" x14ac:dyDescent="0.25">
      <c r="E7" s="2" t="s">
        <v>916</v>
      </c>
      <c r="F7" s="2"/>
    </row>
    <row r="8" spans="2:6" x14ac:dyDescent="0.25">
      <c r="E8" s="2"/>
      <c r="F8" s="2" t="s">
        <v>917</v>
      </c>
    </row>
    <row r="11" spans="2:6" x14ac:dyDescent="0.25">
      <c r="B11" t="s">
        <v>746</v>
      </c>
      <c r="D11" s="3" t="s">
        <v>748</v>
      </c>
    </row>
    <row r="12" spans="2:6" x14ac:dyDescent="0.25">
      <c r="D12" t="s">
        <v>749</v>
      </c>
      <c r="E12" t="s">
        <v>750</v>
      </c>
    </row>
    <row r="15" spans="2:6" x14ac:dyDescent="0.25">
      <c r="B15" t="s">
        <v>746</v>
      </c>
      <c r="C15" t="s">
        <v>738</v>
      </c>
    </row>
    <row r="16" spans="2:6" x14ac:dyDescent="0.25">
      <c r="D16" t="s">
        <v>741</v>
      </c>
    </row>
    <row r="17" spans="2:5" x14ac:dyDescent="0.25">
      <c r="D17" t="s">
        <v>808</v>
      </c>
    </row>
    <row r="18" spans="2:5" x14ac:dyDescent="0.25">
      <c r="E18" t="s">
        <v>809</v>
      </c>
    </row>
    <row r="20" spans="2:5" x14ac:dyDescent="0.25">
      <c r="B20" t="s">
        <v>746</v>
      </c>
      <c r="C20" t="s">
        <v>751</v>
      </c>
    </row>
    <row r="21" spans="2:5" x14ac:dyDescent="0.25">
      <c r="D21" s="4"/>
    </row>
    <row r="24" spans="2:5" x14ac:dyDescent="0.25">
      <c r="B24" t="s">
        <v>746</v>
      </c>
      <c r="C24" t="s">
        <v>850</v>
      </c>
    </row>
    <row r="25" spans="2:5" x14ac:dyDescent="0.25">
      <c r="D25" t="s">
        <v>851</v>
      </c>
    </row>
    <row r="26" spans="2:5" x14ac:dyDescent="0.25">
      <c r="D26" t="s">
        <v>852</v>
      </c>
    </row>
    <row r="29" spans="2:5" x14ac:dyDescent="0.25">
      <c r="B29" t="s">
        <v>746</v>
      </c>
      <c r="C29" t="s">
        <v>872</v>
      </c>
    </row>
    <row r="30" spans="2:5" x14ac:dyDescent="0.25">
      <c r="D30" t="s">
        <v>873</v>
      </c>
    </row>
    <row r="31" spans="2:5" x14ac:dyDescent="0.25">
      <c r="D31" t="s">
        <v>874</v>
      </c>
    </row>
    <row r="32" spans="2:5" x14ac:dyDescent="0.25">
      <c r="D32" t="s">
        <v>875</v>
      </c>
    </row>
    <row r="34" spans="2:4" x14ac:dyDescent="0.25">
      <c r="B34" t="s">
        <v>807</v>
      </c>
      <c r="C34" t="s">
        <v>876</v>
      </c>
    </row>
    <row r="35" spans="2:4" x14ac:dyDescent="0.25">
      <c r="D35" t="s">
        <v>881</v>
      </c>
    </row>
    <row r="36" spans="2:4" x14ac:dyDescent="0.25">
      <c r="D36" t="s">
        <v>877</v>
      </c>
    </row>
    <row r="37" spans="2:4" x14ac:dyDescent="0.25">
      <c r="D37" s="3" t="s">
        <v>918</v>
      </c>
    </row>
    <row r="38" spans="2:4" x14ac:dyDescent="0.25">
      <c r="D38" s="2" t="s">
        <v>927</v>
      </c>
    </row>
    <row r="39" spans="2:4" x14ac:dyDescent="0.25">
      <c r="D39" t="s">
        <v>1123</v>
      </c>
    </row>
    <row r="41" spans="2:4" x14ac:dyDescent="0.25">
      <c r="B41" t="s">
        <v>746</v>
      </c>
      <c r="C41" t="s">
        <v>878</v>
      </c>
    </row>
    <row r="42" spans="2:4" x14ac:dyDescent="0.25">
      <c r="D42" t="s">
        <v>879</v>
      </c>
    </row>
    <row r="43" spans="2:4" x14ac:dyDescent="0.25">
      <c r="D43" t="s">
        <v>880</v>
      </c>
    </row>
    <row r="44" spans="2:4" x14ac:dyDescent="0.25">
      <c r="B44" t="s">
        <v>807</v>
      </c>
      <c r="C44" t="s">
        <v>919</v>
      </c>
    </row>
    <row r="45" spans="2:4" x14ac:dyDescent="0.25">
      <c r="D45" s="2" t="s">
        <v>920</v>
      </c>
    </row>
    <row r="46" spans="2:4" x14ac:dyDescent="0.25">
      <c r="D46" s="2" t="s">
        <v>922</v>
      </c>
    </row>
    <row r="47" spans="2:4" x14ac:dyDescent="0.25">
      <c r="D47" t="s">
        <v>1134</v>
      </c>
    </row>
    <row r="49" spans="2:5" x14ac:dyDescent="0.25">
      <c r="B49" t="s">
        <v>807</v>
      </c>
      <c r="C49" t="s">
        <v>1121</v>
      </c>
    </row>
    <row r="50" spans="2:5" x14ac:dyDescent="0.25">
      <c r="D50" t="s">
        <v>1122</v>
      </c>
    </row>
    <row r="53" spans="2:5" x14ac:dyDescent="0.25">
      <c r="B53" t="s">
        <v>807</v>
      </c>
    </row>
    <row r="54" spans="2:5" x14ac:dyDescent="0.25">
      <c r="C54" t="s">
        <v>1111</v>
      </c>
    </row>
    <row r="55" spans="2:5" x14ac:dyDescent="0.25">
      <c r="D55" t="s">
        <v>1132</v>
      </c>
    </row>
    <row r="56" spans="2:5" x14ac:dyDescent="0.25">
      <c r="D56" t="s">
        <v>1133</v>
      </c>
    </row>
    <row r="57" spans="2:5" x14ac:dyDescent="0.25">
      <c r="D57" s="3" t="s">
        <v>1138</v>
      </c>
    </row>
    <row r="58" spans="2:5" x14ac:dyDescent="0.25">
      <c r="E58" t="s">
        <v>1139</v>
      </c>
    </row>
    <row r="59" spans="2:5" x14ac:dyDescent="0.25">
      <c r="D59" s="2" t="s">
        <v>1140</v>
      </c>
    </row>
    <row r="60" spans="2:5" x14ac:dyDescent="0.25">
      <c r="D60" t="s">
        <v>1144</v>
      </c>
    </row>
    <row r="67" spans="1:2" x14ac:dyDescent="0.25">
      <c r="A67" t="s">
        <v>735</v>
      </c>
    </row>
    <row r="69" spans="1:2" x14ac:dyDescent="0.25">
      <c r="A69" t="s">
        <v>736</v>
      </c>
    </row>
    <row r="71" spans="1:2" x14ac:dyDescent="0.25">
      <c r="A71" t="s">
        <v>737</v>
      </c>
    </row>
    <row r="73" spans="1:2" x14ac:dyDescent="0.25">
      <c r="A73" t="s">
        <v>788</v>
      </c>
    </row>
    <row r="75" spans="1:2" x14ac:dyDescent="0.25">
      <c r="A75" t="s">
        <v>795</v>
      </c>
    </row>
    <row r="76" spans="1:2" x14ac:dyDescent="0.25">
      <c r="B76" t="s">
        <v>796</v>
      </c>
    </row>
    <row r="77" spans="1:2" x14ac:dyDescent="0.25">
      <c r="B77" t="s">
        <v>797</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8420E-593F-48ED-B25D-23DEB4D07B5A}">
  <dimension ref="B2:D9"/>
  <sheetViews>
    <sheetView workbookViewId="0">
      <selection activeCell="F11" sqref="F11"/>
    </sheetView>
  </sheetViews>
  <sheetFormatPr defaultRowHeight="15" x14ac:dyDescent="0.25"/>
  <sheetData>
    <row r="2" spans="2:4" x14ac:dyDescent="0.25">
      <c r="B2" t="s">
        <v>853</v>
      </c>
    </row>
    <row r="3" spans="2:4" x14ac:dyDescent="0.25">
      <c r="C3" t="s">
        <v>854</v>
      </c>
    </row>
    <row r="4" spans="2:4" x14ac:dyDescent="0.25">
      <c r="C4" t="s">
        <v>855</v>
      </c>
    </row>
    <row r="6" spans="2:4" x14ac:dyDescent="0.25">
      <c r="C6" t="s">
        <v>856</v>
      </c>
    </row>
    <row r="7" spans="2:4" x14ac:dyDescent="0.25">
      <c r="D7" s="1" t="s">
        <v>857</v>
      </c>
    </row>
    <row r="8" spans="2:4" x14ac:dyDescent="0.25">
      <c r="D8" s="1" t="s">
        <v>858</v>
      </c>
    </row>
    <row r="9" spans="2:4" x14ac:dyDescent="0.25">
      <c r="D9" s="1" t="s">
        <v>859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E44A9-F2D4-4ECA-821E-7437078D18DC}">
  <dimension ref="B1:W69"/>
  <sheetViews>
    <sheetView topLeftCell="A28" workbookViewId="0">
      <selection activeCell="N9" sqref="N9"/>
    </sheetView>
  </sheetViews>
  <sheetFormatPr defaultRowHeight="15" x14ac:dyDescent="0.25"/>
  <cols>
    <col min="20" max="20" width="18.85546875" customWidth="1"/>
  </cols>
  <sheetData>
    <row r="1" spans="2:23" x14ac:dyDescent="0.25">
      <c r="S1" t="s">
        <v>866</v>
      </c>
    </row>
    <row r="2" spans="2:23" x14ac:dyDescent="0.25">
      <c r="B2" t="s">
        <v>669</v>
      </c>
    </row>
    <row r="3" spans="2:23" x14ac:dyDescent="0.25">
      <c r="S3" t="s">
        <v>862</v>
      </c>
    </row>
    <row r="4" spans="2:23" x14ac:dyDescent="0.25">
      <c r="S4" t="s">
        <v>861</v>
      </c>
    </row>
    <row r="5" spans="2:23" x14ac:dyDescent="0.25">
      <c r="C5" t="s">
        <v>637</v>
      </c>
      <c r="S5" t="s">
        <v>860</v>
      </c>
    </row>
    <row r="6" spans="2:23" x14ac:dyDescent="0.25">
      <c r="D6" t="s">
        <v>638</v>
      </c>
      <c r="E6" t="s">
        <v>641</v>
      </c>
      <c r="T6" t="s">
        <v>864</v>
      </c>
      <c r="V6">
        <f>141.5*15*10000/1000/1000</f>
        <v>21.225000000000001</v>
      </c>
      <c r="W6" t="s">
        <v>865</v>
      </c>
    </row>
    <row r="7" spans="2:23" x14ac:dyDescent="0.25">
      <c r="E7" t="s">
        <v>639</v>
      </c>
      <c r="S7" t="s">
        <v>863</v>
      </c>
    </row>
    <row r="8" spans="2:23" x14ac:dyDescent="0.25">
      <c r="E8" t="s">
        <v>640</v>
      </c>
    </row>
    <row r="9" spans="2:23" x14ac:dyDescent="0.25">
      <c r="D9" t="s">
        <v>642</v>
      </c>
    </row>
    <row r="10" spans="2:23" x14ac:dyDescent="0.25">
      <c r="E10" t="s">
        <v>643</v>
      </c>
    </row>
    <row r="11" spans="2:23" x14ac:dyDescent="0.25">
      <c r="E11" t="s">
        <v>644</v>
      </c>
    </row>
    <row r="12" spans="2:23" x14ac:dyDescent="0.25">
      <c r="F12" t="s">
        <v>645</v>
      </c>
    </row>
    <row r="13" spans="2:23" x14ac:dyDescent="0.25">
      <c r="F13" t="s">
        <v>646</v>
      </c>
    </row>
    <row r="14" spans="2:23" x14ac:dyDescent="0.25">
      <c r="D14" t="s">
        <v>647</v>
      </c>
    </row>
    <row r="15" spans="2:23" x14ac:dyDescent="0.25">
      <c r="E15" t="s">
        <v>648</v>
      </c>
    </row>
    <row r="16" spans="2:23" x14ac:dyDescent="0.25">
      <c r="F16" t="s">
        <v>649</v>
      </c>
    </row>
    <row r="17" spans="4:11" x14ac:dyDescent="0.25">
      <c r="G17" t="s">
        <v>650</v>
      </c>
    </row>
    <row r="18" spans="4:11" x14ac:dyDescent="0.25">
      <c r="G18" t="s">
        <v>651</v>
      </c>
    </row>
    <row r="19" spans="4:11" x14ac:dyDescent="0.25">
      <c r="G19" t="s">
        <v>652</v>
      </c>
    </row>
    <row r="20" spans="4:11" x14ac:dyDescent="0.25">
      <c r="G20" t="s">
        <v>653</v>
      </c>
    </row>
    <row r="21" spans="4:11" x14ac:dyDescent="0.25">
      <c r="G21" t="s">
        <v>654</v>
      </c>
    </row>
    <row r="22" spans="4:11" x14ac:dyDescent="0.25">
      <c r="D22" t="s">
        <v>655</v>
      </c>
    </row>
    <row r="23" spans="4:11" x14ac:dyDescent="0.25">
      <c r="F23" t="s">
        <v>656</v>
      </c>
    </row>
    <row r="24" spans="4:11" x14ac:dyDescent="0.25">
      <c r="G24" t="s">
        <v>657</v>
      </c>
    </row>
    <row r="25" spans="4:11" x14ac:dyDescent="0.25">
      <c r="G25" t="s">
        <v>658</v>
      </c>
    </row>
    <row r="26" spans="4:11" x14ac:dyDescent="0.25">
      <c r="G26" t="s">
        <v>659</v>
      </c>
    </row>
    <row r="27" spans="4:11" x14ac:dyDescent="0.25">
      <c r="G27" t="s">
        <v>660</v>
      </c>
    </row>
    <row r="28" spans="4:11" x14ac:dyDescent="0.25">
      <c r="G28" t="s">
        <v>661</v>
      </c>
    </row>
    <row r="30" spans="4:11" x14ac:dyDescent="0.25">
      <c r="G30" t="s">
        <v>662</v>
      </c>
    </row>
    <row r="31" spans="4:11" x14ac:dyDescent="0.25">
      <c r="G31" t="s">
        <v>664</v>
      </c>
    </row>
    <row r="32" spans="4:11" x14ac:dyDescent="0.25">
      <c r="H32">
        <f>70*12*10000/1000</f>
        <v>8400</v>
      </c>
      <c r="I32">
        <f>10000</f>
        <v>10000</v>
      </c>
      <c r="J32" t="s">
        <v>665</v>
      </c>
      <c r="K32" t="s">
        <v>87</v>
      </c>
    </row>
    <row r="33" spans="3:10" x14ac:dyDescent="0.25">
      <c r="H33">
        <f>6*12*10</f>
        <v>720</v>
      </c>
      <c r="I33">
        <v>1400</v>
      </c>
      <c r="J33" t="s">
        <v>666</v>
      </c>
    </row>
    <row r="34" spans="3:10" x14ac:dyDescent="0.25">
      <c r="H34">
        <f>30*10*12</f>
        <v>3600</v>
      </c>
      <c r="I34">
        <v>7500</v>
      </c>
      <c r="J34" t="s">
        <v>667</v>
      </c>
    </row>
    <row r="35" spans="3:10" x14ac:dyDescent="0.25">
      <c r="H35">
        <f>20*12*10</f>
        <v>2400</v>
      </c>
      <c r="I35">
        <v>7200</v>
      </c>
      <c r="J35" t="s">
        <v>668</v>
      </c>
    </row>
    <row r="37" spans="3:10" x14ac:dyDescent="0.25">
      <c r="D37" t="s">
        <v>752</v>
      </c>
    </row>
    <row r="38" spans="3:10" x14ac:dyDescent="0.25">
      <c r="E38" t="s">
        <v>753</v>
      </c>
    </row>
    <row r="40" spans="3:10" x14ac:dyDescent="0.25">
      <c r="C40" t="s">
        <v>663</v>
      </c>
    </row>
    <row r="69" spans="4:4" x14ac:dyDescent="0.25">
      <c r="D69">
        <f>0.25*0.0000003264</f>
        <v>8.1600000000000003E-8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ORYZA analogues</vt:lpstr>
      <vt:lpstr>2DRICESIM</vt:lpstr>
      <vt:lpstr>2dsoil converstions</vt:lpstr>
      <vt:lpstr>Routine description</vt:lpstr>
      <vt:lpstr>testing notes</vt:lpstr>
      <vt:lpstr>issues</vt:lpstr>
      <vt:lpstr>notes about oryza doc</vt:lpstr>
      <vt:lpstr>output file info</vt:lpstr>
      <vt:lpstr>gasexchange.dll</vt:lpstr>
      <vt:lpstr>ToAdd</vt:lpstr>
      <vt:lpstr>paper ideas</vt:lpstr>
      <vt:lpstr>issues checking - LAI-biomass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Fleisher, David - REE-ARS</dc:creator>
  <cp:lastModifiedBy>Fleisher, David - REE-ARS</cp:lastModifiedBy>
  <dcterms:created xsi:type="dcterms:W3CDTF">2024-03-01T13:37:46Z</dcterms:created>
  <dcterms:modified xsi:type="dcterms:W3CDTF">2024-08-15T11:39:58Z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d2083dbc-fa53-4220-91c9-21fe59fd1d87</vt:lpwstr>
  </property>
</Properties>
</file>