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CESIM-2D\"/>
    </mc:Choice>
  </mc:AlternateContent>
  <xr:revisionPtr revIDLastSave="0" documentId="13_ncr:1_{5C7861F7-4846-430E-AD3E-76327DB7E7F6}" xr6:coauthVersionLast="47" xr6:coauthVersionMax="47" xr10:uidLastSave="{00000000-0000-0000-0000-000000000000}"/>
  <bookViews>
    <workbookView minimized="1" xWindow="23040" yWindow="2184" windowWidth="24576" windowHeight="11040" xr2:uid="{B0975D46-95C2-4BD5-833D-42DB8189B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" i="1" l="1"/>
  <c r="M76" i="1" s="1"/>
</calcChain>
</file>

<file path=xl/sharedStrings.xml><?xml version="1.0" encoding="utf-8"?>
<sst xmlns="http://schemas.openxmlformats.org/spreadsheetml/2006/main" count="126" uniqueCount="119">
  <si>
    <t>ORYZA crop parameters</t>
  </si>
  <si>
    <t>TBD</t>
  </si>
  <si>
    <t>TBLV</t>
  </si>
  <si>
    <t>TMD</t>
  </si>
  <si>
    <t>TOD</t>
  </si>
  <si>
    <t>TODNIGHT</t>
  </si>
  <si>
    <t>TSEN</t>
  </si>
  <si>
    <t>TSENNGHT</t>
  </si>
  <si>
    <t>TSENPSP</t>
  </si>
  <si>
    <t>TSENPSPNGHT</t>
  </si>
  <si>
    <t>DVRJ</t>
  </si>
  <si>
    <t>DVRI</t>
  </si>
  <si>
    <t>DVRP</t>
  </si>
  <si>
    <t>DVRR</t>
  </si>
  <si>
    <t>phenology development paraemters</t>
  </si>
  <si>
    <t>these can be calibrated with pheno_opt_rice</t>
  </si>
  <si>
    <t>cardinal temperature grouping (response)</t>
  </si>
  <si>
    <t>juvenile phase rate</t>
  </si>
  <si>
    <t>photoperiod phase rate</t>
  </si>
  <si>
    <t>panicle phase rate</t>
  </si>
  <si>
    <t>reproductive phase rate</t>
  </si>
  <si>
    <t>most are universal for all rice cultivars (although default is fo rindica)</t>
  </si>
  <si>
    <t>according to Lu et al. 2020, most parameters are default /conserved for India</t>
  </si>
  <si>
    <t>only 10% specific crop parameters related to geneotyp and cultivar chars need to be calibrated</t>
  </si>
  <si>
    <t>calibratino is with DRATE, and PARAM as provided by ORYZA</t>
  </si>
  <si>
    <t>variety-specific crop parameters</t>
  </si>
  <si>
    <t>DVR</t>
  </si>
  <si>
    <t>FLV</t>
  </si>
  <si>
    <t>FST</t>
  </si>
  <si>
    <t>FSO</t>
  </si>
  <si>
    <t>SLA</t>
  </si>
  <si>
    <t>DVR - developmental stage grouping (Rates) (use DRATE subroutine)</t>
  </si>
  <si>
    <t>MOPP</t>
  </si>
  <si>
    <t>PPSE</t>
  </si>
  <si>
    <t>SHCKD</t>
  </si>
  <si>
    <t>COLMIN</t>
  </si>
  <si>
    <t>COLDEAD</t>
  </si>
  <si>
    <t>base T for juvenile leaf area growth</t>
  </si>
  <si>
    <t>max T for development</t>
  </si>
  <si>
    <t>base T for development</t>
  </si>
  <si>
    <t>opt T for development</t>
  </si>
  <si>
    <t>opt T for development at night</t>
  </si>
  <si>
    <t>curvature of bell-shape in day</t>
  </si>
  <si>
    <t>curvature of bell-shape at night</t>
  </si>
  <si>
    <t>max optimum photoperiod</t>
  </si>
  <si>
    <t>photoperiod sensitivity</t>
  </si>
  <si>
    <t>relation between seedling age and delay in phenological development</t>
  </si>
  <si>
    <t>lower air T threshold for growth</t>
  </si>
  <si>
    <t>consecutive # of days below coldmin that crop dies</t>
  </si>
  <si>
    <t>Highlights indicate parameters that are most frequently adjusted</t>
  </si>
  <si>
    <t>Leaf and Stem growth parameters</t>
  </si>
  <si>
    <t>RGRLMX</t>
  </si>
  <si>
    <t>RGRLMN</t>
  </si>
  <si>
    <t>SHCKL</t>
  </si>
  <si>
    <t>max RGR of leaf area</t>
  </si>
  <si>
    <t>min RGR of leaf area</t>
  </si>
  <si>
    <t>relationship between seedling age and delay in leaf area development</t>
  </si>
  <si>
    <t>SWISLA</t>
  </si>
  <si>
    <t>SLA values read from table of expeirimental data (dvs versus SLA) or using a exponential function</t>
  </si>
  <si>
    <t>Function values</t>
  </si>
  <si>
    <t>ASLA</t>
  </si>
  <si>
    <t>BSLA</t>
  </si>
  <si>
    <t>CSLA</t>
  </si>
  <si>
    <t>DSLA</t>
  </si>
  <si>
    <t>SLAMAX</t>
  </si>
  <si>
    <t>SSGATB</t>
  </si>
  <si>
    <t>table of specific green stem area as function of DVS</t>
  </si>
  <si>
    <t>Photosynthetic parameters</t>
  </si>
  <si>
    <t>FRPAR</t>
  </si>
  <si>
    <t>SCP</t>
  </si>
  <si>
    <t>CO2</t>
  </si>
  <si>
    <t>CO2REF</t>
  </si>
  <si>
    <t>fraction of PAR from SRAD</t>
  </si>
  <si>
    <t>scattering of leaves for PAR</t>
  </si>
  <si>
    <t>reference CO2 level</t>
  </si>
  <si>
    <t>ambient CO2 level</t>
  </si>
  <si>
    <t>NEW</t>
  </si>
  <si>
    <t>VCMAXB</t>
  </si>
  <si>
    <t>JMAXB</t>
  </si>
  <si>
    <t>g0</t>
  </si>
  <si>
    <t>g1</t>
  </si>
  <si>
    <t>TPUB</t>
  </si>
  <si>
    <t>coupled gas exchange parameters</t>
  </si>
  <si>
    <t>functions of DVS</t>
  </si>
  <si>
    <t>KDFTB</t>
  </si>
  <si>
    <t>KNFTB</t>
  </si>
  <si>
    <t>EFFTB</t>
  </si>
  <si>
    <t>REDFTT</t>
  </si>
  <si>
    <t>NLVTB</t>
  </si>
  <si>
    <t>light ext coefficient of N profile in canopy (table f age)</t>
  </si>
  <si>
    <t>light ext coefficeint for leaves as f(dvis)</t>
  </si>
  <si>
    <t>LUE f(age)</t>
  </si>
  <si>
    <t>influence of Tair on AMAX</t>
  </si>
  <si>
    <t>N fractno of leaves in laear area basis (f(age)</t>
  </si>
  <si>
    <t>…</t>
  </si>
  <si>
    <t>Respiration</t>
  </si>
  <si>
    <t>Growth parameters</t>
  </si>
  <si>
    <t>FSTR</t>
  </si>
  <si>
    <t>TCLSTR</t>
  </si>
  <si>
    <t>SPGF</t>
  </si>
  <si>
    <t>NSPM2X</t>
  </si>
  <si>
    <t>NSJA</t>
  </si>
  <si>
    <t>WGRMX</t>
  </si>
  <si>
    <t>fraction of CHO in stem stored as reserves</t>
  </si>
  <si>
    <t>time coeffiicent for loss of stem reservers</t>
  </si>
  <si>
    <t>spikelet growth factor (# kg-1)</t>
  </si>
  <si>
    <t>max # of spikelets per m-2 (# m-2)</t>
  </si>
  <si>
    <t>juvenile spikelets # g-1 N 14 days before heading</t>
  </si>
  <si>
    <t>max individual grain weight</t>
  </si>
  <si>
    <t>partitioning tables</t>
  </si>
  <si>
    <t>carbon balance tables</t>
  </si>
  <si>
    <t>FCLV</t>
  </si>
  <si>
    <t xml:space="preserve">mass fraction of C to leaves (kg C kg-1 DM), </t>
  </si>
  <si>
    <t>etc</t>
  </si>
  <si>
    <t>root growth parameters</t>
  </si>
  <si>
    <t>Drought stress paraemters</t>
  </si>
  <si>
    <t>Nitrogen parameters</t>
  </si>
  <si>
    <t>NMAXUP</t>
  </si>
  <si>
    <t>maximum daily N 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</si>
</sst>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 quotePrefix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C5C129E-2358-4562-BAB8-9DE0B8E993A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@R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6F6C-9EBE-4AEF-98CE-D18620510295}">
  <dimension ref="A1:M101"/>
  <sheetViews>
    <sheetView tabSelected="1" workbookViewId="0">
      <selection activeCell="C79" sqref="C79"/>
    </sheetView>
  </sheetViews>
  <sheetFormatPr defaultRowHeight="15" x14ac:dyDescent="0.25"/>
  <cols>
    <col min="2" max="2" width="15.140625" customWidth="1"/>
    <col min="13" max="13" width="11" bestFit="1" customWidth="1"/>
  </cols>
  <sheetData>
    <row r="1" spans="1:12" x14ac:dyDescent="0.25">
      <c r="A1" t="s">
        <v>0</v>
      </c>
    </row>
    <row r="2" spans="1:12" x14ac:dyDescent="0.25">
      <c r="B2" t="s">
        <v>21</v>
      </c>
    </row>
    <row r="4" spans="1:12" x14ac:dyDescent="0.25">
      <c r="B4" t="s">
        <v>22</v>
      </c>
    </row>
    <row r="5" spans="1:12" x14ac:dyDescent="0.25">
      <c r="C5" t="s">
        <v>23</v>
      </c>
    </row>
    <row r="6" spans="1:12" x14ac:dyDescent="0.25">
      <c r="C6" t="s">
        <v>24</v>
      </c>
    </row>
    <row r="7" spans="1:12" x14ac:dyDescent="0.25">
      <c r="A7" t="s">
        <v>49</v>
      </c>
    </row>
    <row r="12" spans="1:12" x14ac:dyDescent="0.25">
      <c r="A12" t="s">
        <v>14</v>
      </c>
    </row>
    <row r="13" spans="1:12" x14ac:dyDescent="0.25">
      <c r="B13" t="s">
        <v>15</v>
      </c>
      <c r="K13" t="s">
        <v>25</v>
      </c>
    </row>
    <row r="14" spans="1:12" x14ac:dyDescent="0.25">
      <c r="L14" t="s">
        <v>26</v>
      </c>
    </row>
    <row r="15" spans="1:12" x14ac:dyDescent="0.25">
      <c r="L15" t="s">
        <v>27</v>
      </c>
    </row>
    <row r="16" spans="1:12" x14ac:dyDescent="0.25">
      <c r="B16" t="s">
        <v>16</v>
      </c>
      <c r="L16" t="s">
        <v>28</v>
      </c>
    </row>
    <row r="17" spans="2:12" x14ac:dyDescent="0.25">
      <c r="B17" t="s">
        <v>1</v>
      </c>
      <c r="D17" t="s">
        <v>39</v>
      </c>
      <c r="L17" t="s">
        <v>29</v>
      </c>
    </row>
    <row r="18" spans="2:12" x14ac:dyDescent="0.25">
      <c r="B18" t="s">
        <v>2</v>
      </c>
      <c r="D18" t="s">
        <v>37</v>
      </c>
      <c r="L18" t="s">
        <v>30</v>
      </c>
    </row>
    <row r="19" spans="2:12" x14ac:dyDescent="0.25">
      <c r="B19" t="s">
        <v>3</v>
      </c>
      <c r="D19" t="s">
        <v>38</v>
      </c>
    </row>
    <row r="20" spans="2:12" x14ac:dyDescent="0.25">
      <c r="B20" t="s">
        <v>4</v>
      </c>
      <c r="D20" t="s">
        <v>40</v>
      </c>
      <c r="L20" t="s">
        <v>10</v>
      </c>
    </row>
    <row r="21" spans="2:12" x14ac:dyDescent="0.25">
      <c r="B21" t="s">
        <v>5</v>
      </c>
      <c r="D21" t="s">
        <v>41</v>
      </c>
      <c r="L21" t="s">
        <v>11</v>
      </c>
    </row>
    <row r="22" spans="2:12" x14ac:dyDescent="0.25">
      <c r="B22" t="s">
        <v>6</v>
      </c>
      <c r="D22" t="s">
        <v>42</v>
      </c>
      <c r="L22" t="s">
        <v>12</v>
      </c>
    </row>
    <row r="23" spans="2:12" x14ac:dyDescent="0.25">
      <c r="B23" t="s">
        <v>7</v>
      </c>
      <c r="D23" t="s">
        <v>43</v>
      </c>
      <c r="L23" t="s">
        <v>13</v>
      </c>
    </row>
    <row r="24" spans="2:12" x14ac:dyDescent="0.25">
      <c r="B24" t="s">
        <v>8</v>
      </c>
      <c r="D24" t="s">
        <v>42</v>
      </c>
    </row>
    <row r="25" spans="2:12" x14ac:dyDescent="0.25">
      <c r="B25" t="s">
        <v>9</v>
      </c>
      <c r="D25" t="s">
        <v>43</v>
      </c>
    </row>
    <row r="27" spans="2:12" x14ac:dyDescent="0.25">
      <c r="B27" t="s">
        <v>31</v>
      </c>
    </row>
    <row r="28" spans="2:12" x14ac:dyDescent="0.25">
      <c r="B28" s="1" t="s">
        <v>10</v>
      </c>
      <c r="D28" t="s">
        <v>17</v>
      </c>
    </row>
    <row r="29" spans="2:12" x14ac:dyDescent="0.25">
      <c r="B29" s="1" t="s">
        <v>11</v>
      </c>
      <c r="D29" t="s">
        <v>18</v>
      </c>
    </row>
    <row r="30" spans="2:12" x14ac:dyDescent="0.25">
      <c r="B30" s="1" t="s">
        <v>12</v>
      </c>
      <c r="D30" t="s">
        <v>19</v>
      </c>
    </row>
    <row r="31" spans="2:12" x14ac:dyDescent="0.25">
      <c r="B31" s="1" t="s">
        <v>13</v>
      </c>
      <c r="D31" t="s">
        <v>20</v>
      </c>
    </row>
    <row r="33" spans="2:5" x14ac:dyDescent="0.25">
      <c r="B33" t="s">
        <v>32</v>
      </c>
      <c r="D33" t="s">
        <v>44</v>
      </c>
    </row>
    <row r="34" spans="2:5" x14ac:dyDescent="0.25">
      <c r="B34" t="s">
        <v>33</v>
      </c>
      <c r="D34" t="s">
        <v>45</v>
      </c>
    </row>
    <row r="35" spans="2:5" x14ac:dyDescent="0.25">
      <c r="B35" t="s">
        <v>34</v>
      </c>
      <c r="D35" t="s">
        <v>46</v>
      </c>
    </row>
    <row r="36" spans="2:5" x14ac:dyDescent="0.25">
      <c r="B36" t="s">
        <v>35</v>
      </c>
      <c r="D36" t="s">
        <v>47</v>
      </c>
    </row>
    <row r="37" spans="2:5" x14ac:dyDescent="0.25">
      <c r="B37" t="s">
        <v>36</v>
      </c>
      <c r="D37" t="s">
        <v>48</v>
      </c>
    </row>
    <row r="39" spans="2:5" x14ac:dyDescent="0.25">
      <c r="B39" t="s">
        <v>50</v>
      </c>
    </row>
    <row r="40" spans="2:5" x14ac:dyDescent="0.25">
      <c r="B40" t="s">
        <v>51</v>
      </c>
      <c r="D40" t="s">
        <v>54</v>
      </c>
    </row>
    <row r="41" spans="2:5" x14ac:dyDescent="0.25">
      <c r="B41" t="s">
        <v>52</v>
      </c>
      <c r="D41" t="s">
        <v>55</v>
      </c>
    </row>
    <row r="42" spans="2:5" x14ac:dyDescent="0.25">
      <c r="B42" t="s">
        <v>53</v>
      </c>
      <c r="D42" t="s">
        <v>56</v>
      </c>
    </row>
    <row r="43" spans="2:5" x14ac:dyDescent="0.25">
      <c r="B43" t="s">
        <v>57</v>
      </c>
      <c r="D43" t="s">
        <v>58</v>
      </c>
    </row>
    <row r="44" spans="2:5" x14ac:dyDescent="0.25">
      <c r="D44" t="s">
        <v>59</v>
      </c>
    </row>
    <row r="45" spans="2:5" x14ac:dyDescent="0.25">
      <c r="E45" t="s">
        <v>60</v>
      </c>
    </row>
    <row r="46" spans="2:5" x14ac:dyDescent="0.25">
      <c r="E46" t="s">
        <v>61</v>
      </c>
    </row>
    <row r="47" spans="2:5" x14ac:dyDescent="0.25">
      <c r="E47" t="s">
        <v>62</v>
      </c>
    </row>
    <row r="48" spans="2:5" x14ac:dyDescent="0.25">
      <c r="E48" t="s">
        <v>63</v>
      </c>
    </row>
    <row r="49" spans="2:5" x14ac:dyDescent="0.25">
      <c r="E49" t="s">
        <v>64</v>
      </c>
    </row>
    <row r="50" spans="2:5" x14ac:dyDescent="0.25">
      <c r="B50" t="s">
        <v>65</v>
      </c>
      <c r="D50" t="s">
        <v>66</v>
      </c>
    </row>
    <row r="52" spans="2:5" x14ac:dyDescent="0.25">
      <c r="B52" t="s">
        <v>67</v>
      </c>
    </row>
    <row r="53" spans="2:5" x14ac:dyDescent="0.25">
      <c r="B53" t="s">
        <v>68</v>
      </c>
      <c r="D53" t="s">
        <v>72</v>
      </c>
    </row>
    <row r="54" spans="2:5" x14ac:dyDescent="0.25">
      <c r="B54" t="s">
        <v>69</v>
      </c>
      <c r="D54" t="s">
        <v>73</v>
      </c>
    </row>
    <row r="55" spans="2:5" x14ac:dyDescent="0.25">
      <c r="B55" s="2" t="s">
        <v>71</v>
      </c>
      <c r="D55" t="s">
        <v>74</v>
      </c>
    </row>
    <row r="56" spans="2:5" x14ac:dyDescent="0.25">
      <c r="B56" t="s">
        <v>70</v>
      </c>
      <c r="D56" t="s">
        <v>75</v>
      </c>
    </row>
    <row r="58" spans="2:5" x14ac:dyDescent="0.25">
      <c r="B58" t="s">
        <v>76</v>
      </c>
      <c r="D58" t="s">
        <v>82</v>
      </c>
    </row>
    <row r="59" spans="2:5" x14ac:dyDescent="0.25">
      <c r="C59" t="s">
        <v>77</v>
      </c>
      <c r="D59" t="s">
        <v>83</v>
      </c>
    </row>
    <row r="60" spans="2:5" x14ac:dyDescent="0.25">
      <c r="C60" t="s">
        <v>78</v>
      </c>
    </row>
    <row r="61" spans="2:5" x14ac:dyDescent="0.25">
      <c r="C61" t="s">
        <v>79</v>
      </c>
    </row>
    <row r="62" spans="2:5" x14ac:dyDescent="0.25">
      <c r="C62" t="s">
        <v>80</v>
      </c>
    </row>
    <row r="63" spans="2:5" x14ac:dyDescent="0.25">
      <c r="C63" t="s">
        <v>81</v>
      </c>
    </row>
    <row r="64" spans="2:5" x14ac:dyDescent="0.25">
      <c r="B64" t="s">
        <v>84</v>
      </c>
      <c r="C64" t="s">
        <v>90</v>
      </c>
    </row>
    <row r="65" spans="2:13" x14ac:dyDescent="0.25">
      <c r="B65" t="s">
        <v>85</v>
      </c>
      <c r="C65" t="s">
        <v>89</v>
      </c>
    </row>
    <row r="66" spans="2:13" x14ac:dyDescent="0.25">
      <c r="B66" t="s">
        <v>86</v>
      </c>
      <c r="C66" t="s">
        <v>91</v>
      </c>
    </row>
    <row r="67" spans="2:13" x14ac:dyDescent="0.25">
      <c r="B67" t="s">
        <v>87</v>
      </c>
      <c r="C67" t="s">
        <v>92</v>
      </c>
    </row>
    <row r="68" spans="2:13" x14ac:dyDescent="0.25">
      <c r="B68" t="s">
        <v>88</v>
      </c>
      <c r="C68" t="s">
        <v>93</v>
      </c>
    </row>
    <row r="71" spans="2:13" x14ac:dyDescent="0.25">
      <c r="B71" t="s">
        <v>95</v>
      </c>
    </row>
    <row r="72" spans="2:13" x14ac:dyDescent="0.25">
      <c r="B72" t="s">
        <v>94</v>
      </c>
    </row>
    <row r="74" spans="2:13" x14ac:dyDescent="0.25">
      <c r="B74" t="s">
        <v>96</v>
      </c>
    </row>
    <row r="75" spans="2:13" x14ac:dyDescent="0.25">
      <c r="B75" t="s">
        <v>97</v>
      </c>
      <c r="C75" t="s">
        <v>103</v>
      </c>
    </row>
    <row r="76" spans="2:13" x14ac:dyDescent="0.25">
      <c r="B76" t="s">
        <v>98</v>
      </c>
      <c r="C76" t="s">
        <v>104</v>
      </c>
      <c r="J76">
        <v>2</v>
      </c>
      <c r="K76">
        <v>24</v>
      </c>
      <c r="L76">
        <f>(K76-25)/10</f>
        <v>-0.1</v>
      </c>
      <c r="M76">
        <f>J76^(L76)</f>
        <v>0.93303299153680741</v>
      </c>
    </row>
    <row r="77" spans="2:13" x14ac:dyDescent="0.25">
      <c r="B77" s="1" t="s">
        <v>99</v>
      </c>
      <c r="C77" t="s">
        <v>105</v>
      </c>
    </row>
    <row r="78" spans="2:13" x14ac:dyDescent="0.25">
      <c r="B78" t="s">
        <v>100</v>
      </c>
      <c r="C78" t="s">
        <v>106</v>
      </c>
    </row>
    <row r="79" spans="2:13" x14ac:dyDescent="0.25">
      <c r="B79" t="s">
        <v>101</v>
      </c>
      <c r="C79" t="s">
        <v>107</v>
      </c>
    </row>
    <row r="80" spans="2:13" x14ac:dyDescent="0.25">
      <c r="B80" t="s">
        <v>102</v>
      </c>
      <c r="C80" t="s">
        <v>108</v>
      </c>
    </row>
    <row r="83" spans="2:3" x14ac:dyDescent="0.25">
      <c r="B83" t="s">
        <v>109</v>
      </c>
    </row>
    <row r="87" spans="2:3" x14ac:dyDescent="0.25">
      <c r="B87" t="s">
        <v>110</v>
      </c>
    </row>
    <row r="88" spans="2:3" x14ac:dyDescent="0.25">
      <c r="B88" t="s">
        <v>111</v>
      </c>
      <c r="C88" t="s">
        <v>112</v>
      </c>
    </row>
    <row r="89" spans="2:3" x14ac:dyDescent="0.25">
      <c r="B89" t="s">
        <v>113</v>
      </c>
    </row>
    <row r="93" spans="2:3" x14ac:dyDescent="0.25">
      <c r="B93" t="s">
        <v>114</v>
      </c>
    </row>
    <row r="96" spans="2:3" x14ac:dyDescent="0.25">
      <c r="B96" t="s">
        <v>115</v>
      </c>
    </row>
    <row r="99" spans="2:3" x14ac:dyDescent="0.25">
      <c r="B99" t="s">
        <v>116</v>
      </c>
    </row>
    <row r="100" spans="2:3" x14ac:dyDescent="0.25">
      <c r="B100" t="s">
        <v>117</v>
      </c>
      <c r="C100" t="s">
        <v>118</v>
      </c>
    </row>
    <row r="101" spans="2:3" x14ac:dyDescent="0.25">
      <c r="B101" t="s">
        <v>94</v>
      </c>
    </row>
  </sheetData>
  <hyperlinks>
    <hyperlink ref="B55" r:id="rId1" display="CO@REF" xr:uid="{6B940657-FF57-4FED-BF68-4152ABFA83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Tubers 1</dc:creator>
  <cp:lastModifiedBy>Fleisher, David - REE-ARS</cp:lastModifiedBy>
  <dcterms:created xsi:type="dcterms:W3CDTF">2024-02-13T13:05:31Z</dcterms:created>
  <dcterms:modified xsi:type="dcterms:W3CDTF">2024-03-19T18:42:39Z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130aaefc-5774-4720-b481-cd3568e09efc</vt:lpwstr>
  </property>
</Properties>
</file>