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arsmdbe34423271\E\RICESIM-2D\"/>
    </mc:Choice>
  </mc:AlternateContent>
  <xr:revisionPtr revIDLastSave="0" documentId="8_{BE55354C-DA8B-442F-8556-DA1433BC7DB5}" xr6:coauthVersionLast="47" xr6:coauthVersionMax="47" xr10:uidLastSave="{00000000-0000-0000-0000-000000000000}"/>
  <bookViews>
    <workbookView xWindow="-120" yWindow="-120" windowWidth="29040" windowHeight="15720" xr2:uid="{CD1A7846-FCE9-40AA-8BE5-67E46C217D2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2" l="1"/>
  <c r="G29" i="2"/>
  <c r="E29" i="2"/>
  <c r="F20" i="2"/>
</calcChain>
</file>

<file path=xl/sharedStrings.xml><?xml version="1.0" encoding="utf-8"?>
<sst xmlns="http://schemas.openxmlformats.org/spreadsheetml/2006/main" count="244" uniqueCount="122">
  <si>
    <t>time_public</t>
  </si>
  <si>
    <t>2DSOIL</t>
  </si>
  <si>
    <t>block</t>
  </si>
  <si>
    <t>tnext(NumModD)</t>
  </si>
  <si>
    <t>dtMx(4)</t>
  </si>
  <si>
    <t>Time</t>
  </si>
  <si>
    <t>Step</t>
  </si>
  <si>
    <t>dtOpt</t>
  </si>
  <si>
    <t>dtMin</t>
  </si>
  <si>
    <t>dMul1</t>
  </si>
  <si>
    <t>dMul2</t>
  </si>
  <si>
    <t>tTDB(4)</t>
  </si>
  <si>
    <t>Tfin</t>
  </si>
  <si>
    <t>tAtm</t>
  </si>
  <si>
    <t>Tinit</t>
  </si>
  <si>
    <t>lInput</t>
  </si>
  <si>
    <t>Iter</t>
  </si>
  <si>
    <t>DailyOutput</t>
  </si>
  <si>
    <t>HourlyOutput</t>
  </si>
  <si>
    <t>RunFlag</t>
  </si>
  <si>
    <t>DailyWeather</t>
  </si>
  <si>
    <t>HourlyWeather</t>
  </si>
  <si>
    <t>beginDay</t>
  </si>
  <si>
    <t>sowingDay</t>
  </si>
  <si>
    <t>emergeDay</t>
  </si>
  <si>
    <t>transplantDay</t>
  </si>
  <si>
    <t>endDay</t>
  </si>
  <si>
    <t>OutputSoilNo</t>
  </si>
  <si>
    <t>OutputSoilyes</t>
  </si>
  <si>
    <t>Year</t>
  </si>
  <si>
    <t>iTime</t>
  </si>
  <si>
    <t>iDawn</t>
  </si>
  <si>
    <t>iDusk</t>
  </si>
  <si>
    <t>TimeStep</t>
  </si>
  <si>
    <t>tmpday</t>
  </si>
  <si>
    <t>Dayofyear</t>
  </si>
  <si>
    <t xml:space="preserve">NumMoD </t>
  </si>
  <si>
    <t>parameter</t>
  </si>
  <si>
    <t>double</t>
  </si>
  <si>
    <t>integer</t>
  </si>
  <si>
    <t>types</t>
  </si>
  <si>
    <t>integer, real, complex, logical, character</t>
  </si>
  <si>
    <t>default</t>
  </si>
  <si>
    <t>else</t>
  </si>
  <si>
    <t>real</t>
  </si>
  <si>
    <t>I,J,K,L,M,N</t>
  </si>
  <si>
    <t>declared</t>
  </si>
  <si>
    <t>undeclared</t>
  </si>
  <si>
    <t>RICESIM</t>
  </si>
  <si>
    <t>(was declared as integer)</t>
  </si>
  <si>
    <t>SHOOTR</t>
  </si>
  <si>
    <t>PCRL</t>
  </si>
  <si>
    <t>PCRQ</t>
  </si>
  <si>
    <t>PCRS</t>
  </si>
  <si>
    <t>HourlyCarboUsed</t>
  </si>
  <si>
    <t>ET_demand</t>
  </si>
  <si>
    <t>LCAI</t>
  </si>
  <si>
    <t>COVER</t>
  </si>
  <si>
    <t>CONVR</t>
  </si>
  <si>
    <t>MaxRootDepth</t>
  </si>
  <si>
    <t>Shade</t>
  </si>
  <si>
    <t>height</t>
  </si>
  <si>
    <t>LAI</t>
  </si>
  <si>
    <t>AWUPS</t>
  </si>
  <si>
    <t>NITRODEMAND</t>
  </si>
  <si>
    <t>xBSTEM</t>
  </si>
  <si>
    <t>yBSTEM</t>
  </si>
  <si>
    <t>SGT</t>
  </si>
  <si>
    <t>PSIM</t>
  </si>
  <si>
    <t>POPROW</t>
  </si>
  <si>
    <t>ROWSP</t>
  </si>
  <si>
    <t>ROWANG</t>
  </si>
  <si>
    <t>PopArea</t>
  </si>
  <si>
    <t>CEC</t>
  </si>
  <si>
    <t>EORSCS</t>
  </si>
  <si>
    <t>AWUPPS</t>
  </si>
  <si>
    <t>SOLRAD</t>
  </si>
  <si>
    <t>Total_Eor</t>
  </si>
  <si>
    <t>Total_PCRS</t>
  </si>
  <si>
    <t>sincrsink</t>
  </si>
  <si>
    <t>PSILD</t>
  </si>
  <si>
    <t>OSMFAC</t>
  </si>
  <si>
    <t>EOMULT</t>
  </si>
  <si>
    <t>PSIL_</t>
  </si>
  <si>
    <t>NDEmandError</t>
  </si>
  <si>
    <t>CumulativeNDemandError</t>
  </si>
  <si>
    <t>TotalRootWeight</t>
  </si>
  <si>
    <t>InitialRootCarbo</t>
  </si>
  <si>
    <t>PCRTS</t>
  </si>
  <si>
    <t>ConstI(2)</t>
  </si>
  <si>
    <t>constk(2)</t>
  </si>
  <si>
    <t>cmin0(2)</t>
  </si>
  <si>
    <t>isGerminated</t>
  </si>
  <si>
    <t>isEmerged</t>
  </si>
  <si>
    <t>isTransplanted</t>
  </si>
  <si>
    <t>isGrainfill</t>
  </si>
  <si>
    <t>RICETYPE</t>
  </si>
  <si>
    <t>RUNMODE</t>
  </si>
  <si>
    <t>PRODENV</t>
  </si>
  <si>
    <t>WATBAL</t>
  </si>
  <si>
    <t>NITROENV</t>
  </si>
  <si>
    <t>ESTAB</t>
  </si>
  <si>
    <t>SBDUR</t>
  </si>
  <si>
    <t>NPLH</t>
  </si>
  <si>
    <t>NHH</t>
  </si>
  <si>
    <t>NPLSB</t>
  </si>
  <si>
    <t>NPLDS</t>
  </si>
  <si>
    <t>LAPE</t>
  </si>
  <si>
    <t>DVIS</t>
  </si>
  <si>
    <t>WLVGI</t>
  </si>
  <si>
    <t>WSTI</t>
  </si>
  <si>
    <t>WRTI</t>
  </si>
  <si>
    <t>WSOI</t>
  </si>
  <si>
    <t>ZRTI</t>
  </si>
  <si>
    <t>ZRTTR</t>
  </si>
  <si>
    <t>DVSIMAX</t>
  </si>
  <si>
    <t>DVSIMIN</t>
  </si>
  <si>
    <t>SWITIR</t>
  </si>
  <si>
    <t>real(8)</t>
  </si>
  <si>
    <t>real(4)</t>
  </si>
  <si>
    <t>LAREAT</t>
  </si>
  <si>
    <t xml:space="preserve">issue when time-step from synchronizer was very small,  such that several iterations occur before hour is reached, when hour is finally reached, setsurface does not update the integer of time resulting in the same hour repeating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</si>
</sst>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88FC9-0DC1-467E-BB9D-1F37D2C032CC}">
  <dimension ref="A1:O107"/>
  <sheetViews>
    <sheetView tabSelected="1" topLeftCell="A7" workbookViewId="0">
      <pane ySplit="2100" activePane="bottomLeft"/>
      <selection activeCell="I17" sqref="I17"/>
      <selection pane="bottomLeft" activeCell="B6" sqref="B6"/>
    </sheetView>
  </sheetViews>
  <sheetFormatPr defaultRowHeight="15" x14ac:dyDescent="0.25"/>
  <cols>
    <col min="2" max="2" width="20.140625" customWidth="1"/>
  </cols>
  <sheetData>
    <row r="1" spans="1:15" x14ac:dyDescent="0.25">
      <c r="A1" t="s">
        <v>2</v>
      </c>
      <c r="B1" t="s">
        <v>1</v>
      </c>
      <c r="G1" t="s">
        <v>48</v>
      </c>
    </row>
    <row r="2" spans="1:15" x14ac:dyDescent="0.25">
      <c r="B2" t="s">
        <v>2</v>
      </c>
      <c r="C2" t="s">
        <v>46</v>
      </c>
      <c r="D2" t="s">
        <v>47</v>
      </c>
      <c r="G2" t="s">
        <v>46</v>
      </c>
      <c r="H2" t="s">
        <v>47</v>
      </c>
    </row>
    <row r="3" spans="1:15" x14ac:dyDescent="0.25">
      <c r="A3" t="s">
        <v>0</v>
      </c>
      <c r="C3" t="s">
        <v>36</v>
      </c>
      <c r="D3" t="s">
        <v>37</v>
      </c>
      <c r="L3" t="s">
        <v>40</v>
      </c>
    </row>
    <row r="4" spans="1:15" x14ac:dyDescent="0.25">
      <c r="B4" t="s">
        <v>3</v>
      </c>
      <c r="C4" t="s">
        <v>38</v>
      </c>
      <c r="M4" t="s">
        <v>41</v>
      </c>
    </row>
    <row r="5" spans="1:15" x14ac:dyDescent="0.25">
      <c r="B5" t="s">
        <v>4</v>
      </c>
      <c r="C5" t="s">
        <v>38</v>
      </c>
    </row>
    <row r="6" spans="1:15" x14ac:dyDescent="0.25">
      <c r="B6" t="s">
        <v>5</v>
      </c>
      <c r="C6" t="s">
        <v>38</v>
      </c>
      <c r="M6" t="s">
        <v>42</v>
      </c>
    </row>
    <row r="7" spans="1:15" x14ac:dyDescent="0.25">
      <c r="B7" t="s">
        <v>6</v>
      </c>
      <c r="C7" t="s">
        <v>38</v>
      </c>
      <c r="M7" t="s">
        <v>45</v>
      </c>
      <c r="O7" t="s">
        <v>39</v>
      </c>
    </row>
    <row r="8" spans="1:15" x14ac:dyDescent="0.25">
      <c r="B8" t="s">
        <v>7</v>
      </c>
      <c r="C8" t="s">
        <v>38</v>
      </c>
      <c r="M8" t="s">
        <v>43</v>
      </c>
      <c r="O8" t="s">
        <v>44</v>
      </c>
    </row>
    <row r="9" spans="1:15" x14ac:dyDescent="0.25">
      <c r="B9" t="s">
        <v>8</v>
      </c>
      <c r="C9" t="s">
        <v>38</v>
      </c>
    </row>
    <row r="10" spans="1:15" x14ac:dyDescent="0.25">
      <c r="B10" t="s">
        <v>9</v>
      </c>
      <c r="C10" t="s">
        <v>38</v>
      </c>
    </row>
    <row r="11" spans="1:15" x14ac:dyDescent="0.25">
      <c r="B11" t="s">
        <v>10</v>
      </c>
      <c r="C11" t="s">
        <v>38</v>
      </c>
    </row>
    <row r="12" spans="1:15" x14ac:dyDescent="0.25">
      <c r="B12" t="s">
        <v>11</v>
      </c>
      <c r="C12" t="s">
        <v>38</v>
      </c>
    </row>
    <row r="13" spans="1:15" x14ac:dyDescent="0.25">
      <c r="B13" t="s">
        <v>12</v>
      </c>
      <c r="C13" t="s">
        <v>38</v>
      </c>
    </row>
    <row r="14" spans="1:15" x14ac:dyDescent="0.25">
      <c r="B14" t="s">
        <v>13</v>
      </c>
      <c r="C14" t="s">
        <v>38</v>
      </c>
    </row>
    <row r="15" spans="1:15" x14ac:dyDescent="0.25">
      <c r="B15" t="s">
        <v>14</v>
      </c>
      <c r="D15" t="s">
        <v>44</v>
      </c>
      <c r="G15" t="s">
        <v>44</v>
      </c>
      <c r="H15" t="s">
        <v>49</v>
      </c>
    </row>
    <row r="16" spans="1:15" x14ac:dyDescent="0.25">
      <c r="B16" t="s">
        <v>15</v>
      </c>
      <c r="D16" t="s">
        <v>39</v>
      </c>
      <c r="G16" t="s">
        <v>39</v>
      </c>
    </row>
    <row r="17" spans="2:7" x14ac:dyDescent="0.25">
      <c r="B17" t="s">
        <v>16</v>
      </c>
      <c r="D17" t="s">
        <v>39</v>
      </c>
      <c r="G17" t="s">
        <v>39</v>
      </c>
    </row>
    <row r="18" spans="2:7" x14ac:dyDescent="0.25">
      <c r="B18" t="s">
        <v>17</v>
      </c>
      <c r="C18" t="s">
        <v>39</v>
      </c>
    </row>
    <row r="19" spans="2:7" x14ac:dyDescent="0.25">
      <c r="B19" t="s">
        <v>18</v>
      </c>
      <c r="C19" t="s">
        <v>39</v>
      </c>
    </row>
    <row r="20" spans="2:7" x14ac:dyDescent="0.25">
      <c r="B20" t="s">
        <v>19</v>
      </c>
      <c r="C20" t="s">
        <v>39</v>
      </c>
    </row>
    <row r="21" spans="2:7" x14ac:dyDescent="0.25">
      <c r="B21" t="s">
        <v>20</v>
      </c>
      <c r="C21" t="s">
        <v>39</v>
      </c>
    </row>
    <row r="22" spans="2:7" x14ac:dyDescent="0.25">
      <c r="B22" t="s">
        <v>21</v>
      </c>
      <c r="C22" t="s">
        <v>39</v>
      </c>
    </row>
    <row r="23" spans="2:7" x14ac:dyDescent="0.25">
      <c r="B23" t="s">
        <v>22</v>
      </c>
      <c r="C23" t="s">
        <v>39</v>
      </c>
    </row>
    <row r="24" spans="2:7" x14ac:dyDescent="0.25">
      <c r="B24" t="s">
        <v>23</v>
      </c>
      <c r="C24" t="s">
        <v>39</v>
      </c>
    </row>
    <row r="25" spans="2:7" x14ac:dyDescent="0.25">
      <c r="B25" t="s">
        <v>24</v>
      </c>
      <c r="C25" t="s">
        <v>39</v>
      </c>
    </row>
    <row r="26" spans="2:7" x14ac:dyDescent="0.25">
      <c r="B26" t="s">
        <v>25</v>
      </c>
      <c r="C26" t="s">
        <v>39</v>
      </c>
    </row>
    <row r="27" spans="2:7" x14ac:dyDescent="0.25">
      <c r="B27" t="s">
        <v>26</v>
      </c>
      <c r="C27" t="s">
        <v>39</v>
      </c>
    </row>
    <row r="28" spans="2:7" x14ac:dyDescent="0.25">
      <c r="B28" t="s">
        <v>27</v>
      </c>
      <c r="C28" t="s">
        <v>38</v>
      </c>
    </row>
    <row r="29" spans="2:7" x14ac:dyDescent="0.25">
      <c r="B29" t="s">
        <v>28</v>
      </c>
      <c r="C29" t="s">
        <v>38</v>
      </c>
    </row>
    <row r="30" spans="2:7" x14ac:dyDescent="0.25">
      <c r="B30" t="s">
        <v>29</v>
      </c>
      <c r="C30" t="s">
        <v>39</v>
      </c>
    </row>
    <row r="31" spans="2:7" x14ac:dyDescent="0.25">
      <c r="B31" t="s">
        <v>30</v>
      </c>
      <c r="D31" t="s">
        <v>39</v>
      </c>
    </row>
    <row r="32" spans="2:7" x14ac:dyDescent="0.25">
      <c r="B32" t="s">
        <v>31</v>
      </c>
      <c r="D32" t="s">
        <v>39</v>
      </c>
    </row>
    <row r="33" spans="1:7" x14ac:dyDescent="0.25">
      <c r="B33" t="s">
        <v>32</v>
      </c>
      <c r="D33" t="s">
        <v>39</v>
      </c>
    </row>
    <row r="34" spans="1:7" x14ac:dyDescent="0.25">
      <c r="B34" t="s">
        <v>33</v>
      </c>
      <c r="C34" t="s">
        <v>38</v>
      </c>
    </row>
    <row r="35" spans="1:7" x14ac:dyDescent="0.25">
      <c r="B35" t="s">
        <v>34</v>
      </c>
      <c r="C35" t="s">
        <v>39</v>
      </c>
    </row>
    <row r="36" spans="1:7" x14ac:dyDescent="0.25">
      <c r="B36" t="s">
        <v>35</v>
      </c>
      <c r="C36" t="s">
        <v>39</v>
      </c>
    </row>
    <row r="39" spans="1:7" x14ac:dyDescent="0.25">
      <c r="A39" t="s">
        <v>50</v>
      </c>
    </row>
    <row r="40" spans="1:7" x14ac:dyDescent="0.25">
      <c r="B40" t="s">
        <v>51</v>
      </c>
      <c r="C40" t="s">
        <v>44</v>
      </c>
      <c r="G40" t="s">
        <v>44</v>
      </c>
    </row>
    <row r="41" spans="1:7" x14ac:dyDescent="0.25">
      <c r="B41" t="s">
        <v>52</v>
      </c>
      <c r="C41" t="s">
        <v>44</v>
      </c>
      <c r="G41" t="s">
        <v>44</v>
      </c>
    </row>
    <row r="42" spans="1:7" x14ac:dyDescent="0.25">
      <c r="B42" t="s">
        <v>53</v>
      </c>
      <c r="C42" t="s">
        <v>44</v>
      </c>
      <c r="G42" t="s">
        <v>44</v>
      </c>
    </row>
    <row r="43" spans="1:7" x14ac:dyDescent="0.25">
      <c r="B43" t="s">
        <v>54</v>
      </c>
      <c r="C43" t="s">
        <v>118</v>
      </c>
      <c r="G43" t="s">
        <v>118</v>
      </c>
    </row>
    <row r="44" spans="1:7" x14ac:dyDescent="0.25">
      <c r="B44" t="s">
        <v>55</v>
      </c>
      <c r="C44" t="s">
        <v>44</v>
      </c>
      <c r="G44" t="s">
        <v>44</v>
      </c>
    </row>
    <row r="45" spans="1:7" x14ac:dyDescent="0.25">
      <c r="B45" t="s">
        <v>56</v>
      </c>
      <c r="C45" t="s">
        <v>44</v>
      </c>
      <c r="G45" t="s">
        <v>44</v>
      </c>
    </row>
    <row r="46" spans="1:7" x14ac:dyDescent="0.25">
      <c r="B46" t="s">
        <v>57</v>
      </c>
      <c r="C46" t="s">
        <v>44</v>
      </c>
      <c r="G46" t="s">
        <v>44</v>
      </c>
    </row>
    <row r="47" spans="1:7" x14ac:dyDescent="0.25">
      <c r="B47" t="s">
        <v>58</v>
      </c>
      <c r="C47" t="s">
        <v>44</v>
      </c>
      <c r="G47" t="s">
        <v>44</v>
      </c>
    </row>
    <row r="48" spans="1:7" x14ac:dyDescent="0.25">
      <c r="B48" t="s">
        <v>59</v>
      </c>
      <c r="C48" t="s">
        <v>44</v>
      </c>
      <c r="G48" t="s">
        <v>44</v>
      </c>
    </row>
    <row r="49" spans="2:7" x14ac:dyDescent="0.25">
      <c r="B49" t="s">
        <v>60</v>
      </c>
      <c r="C49" t="s">
        <v>119</v>
      </c>
      <c r="G49" t="s">
        <v>119</v>
      </c>
    </row>
    <row r="50" spans="2:7" x14ac:dyDescent="0.25">
      <c r="B50" t="s">
        <v>61</v>
      </c>
      <c r="C50" t="s">
        <v>119</v>
      </c>
      <c r="G50" t="s">
        <v>119</v>
      </c>
    </row>
    <row r="51" spans="2:7" x14ac:dyDescent="0.25">
      <c r="B51" t="s">
        <v>62</v>
      </c>
      <c r="C51" t="s">
        <v>119</v>
      </c>
      <c r="G51" t="s">
        <v>119</v>
      </c>
    </row>
    <row r="52" spans="2:7" x14ac:dyDescent="0.25">
      <c r="B52" t="s">
        <v>63</v>
      </c>
      <c r="C52" t="s">
        <v>119</v>
      </c>
      <c r="G52" t="s">
        <v>119</v>
      </c>
    </row>
    <row r="53" spans="2:7" x14ac:dyDescent="0.25">
      <c r="B53" t="s">
        <v>64</v>
      </c>
      <c r="C53" t="s">
        <v>119</v>
      </c>
      <c r="G53" t="s">
        <v>119</v>
      </c>
    </row>
    <row r="54" spans="2:7" x14ac:dyDescent="0.25">
      <c r="B54" t="s">
        <v>65</v>
      </c>
      <c r="D54" t="s">
        <v>44</v>
      </c>
    </row>
    <row r="55" spans="2:7" x14ac:dyDescent="0.25">
      <c r="B55" t="s">
        <v>66</v>
      </c>
      <c r="D55" t="s">
        <v>44</v>
      </c>
    </row>
    <row r="56" spans="2:7" x14ac:dyDescent="0.25">
      <c r="B56" t="s">
        <v>67</v>
      </c>
      <c r="D56" t="s">
        <v>44</v>
      </c>
    </row>
    <row r="57" spans="2:7" x14ac:dyDescent="0.25">
      <c r="B57" t="s">
        <v>68</v>
      </c>
      <c r="D57" t="s">
        <v>44</v>
      </c>
    </row>
    <row r="58" spans="2:7" x14ac:dyDescent="0.25">
      <c r="B58" t="s">
        <v>120</v>
      </c>
      <c r="C58" t="s">
        <v>44</v>
      </c>
      <c r="G58" t="s">
        <v>44</v>
      </c>
    </row>
    <row r="59" spans="2:7" x14ac:dyDescent="0.25">
      <c r="B59" t="s">
        <v>69</v>
      </c>
      <c r="D59" t="s">
        <v>44</v>
      </c>
    </row>
    <row r="60" spans="2:7" x14ac:dyDescent="0.25">
      <c r="B60" t="s">
        <v>70</v>
      </c>
      <c r="D60" t="s">
        <v>44</v>
      </c>
    </row>
    <row r="61" spans="2:7" x14ac:dyDescent="0.25">
      <c r="B61" t="s">
        <v>71</v>
      </c>
      <c r="D61" t="s">
        <v>44</v>
      </c>
    </row>
    <row r="62" spans="2:7" x14ac:dyDescent="0.25">
      <c r="B62" t="s">
        <v>72</v>
      </c>
      <c r="D62" t="s">
        <v>44</v>
      </c>
    </row>
    <row r="63" spans="2:7" x14ac:dyDescent="0.25">
      <c r="B63" t="s">
        <v>73</v>
      </c>
      <c r="D63" t="s">
        <v>44</v>
      </c>
    </row>
    <row r="64" spans="2:7" x14ac:dyDescent="0.25">
      <c r="B64" t="s">
        <v>74</v>
      </c>
      <c r="D64" t="s">
        <v>44</v>
      </c>
    </row>
    <row r="65" spans="2:7" x14ac:dyDescent="0.25">
      <c r="B65" t="s">
        <v>75</v>
      </c>
      <c r="D65" t="s">
        <v>44</v>
      </c>
    </row>
    <row r="66" spans="2:7" x14ac:dyDescent="0.25">
      <c r="B66" t="s">
        <v>76</v>
      </c>
      <c r="D66" t="s">
        <v>44</v>
      </c>
    </row>
    <row r="67" spans="2:7" x14ac:dyDescent="0.25">
      <c r="B67" t="s">
        <v>77</v>
      </c>
      <c r="D67" t="s">
        <v>44</v>
      </c>
    </row>
    <row r="68" spans="2:7" x14ac:dyDescent="0.25">
      <c r="B68" t="s">
        <v>78</v>
      </c>
      <c r="D68" t="s">
        <v>44</v>
      </c>
    </row>
    <row r="69" spans="2:7" x14ac:dyDescent="0.25">
      <c r="B69" t="s">
        <v>79</v>
      </c>
      <c r="D69" t="s">
        <v>44</v>
      </c>
    </row>
    <row r="70" spans="2:7" x14ac:dyDescent="0.25">
      <c r="B70" t="s">
        <v>80</v>
      </c>
      <c r="D70" t="s">
        <v>44</v>
      </c>
    </row>
    <row r="71" spans="2:7" x14ac:dyDescent="0.25">
      <c r="B71" t="s">
        <v>81</v>
      </c>
      <c r="D71" t="s">
        <v>44</v>
      </c>
    </row>
    <row r="72" spans="2:7" x14ac:dyDescent="0.25">
      <c r="B72" t="s">
        <v>82</v>
      </c>
      <c r="D72" t="s">
        <v>44</v>
      </c>
    </row>
    <row r="73" spans="2:7" x14ac:dyDescent="0.25">
      <c r="B73" t="s">
        <v>83</v>
      </c>
      <c r="D73" t="s">
        <v>44</v>
      </c>
    </row>
    <row r="74" spans="2:7" x14ac:dyDescent="0.25">
      <c r="B74" t="s">
        <v>84</v>
      </c>
      <c r="C74" t="s">
        <v>119</v>
      </c>
      <c r="G74" t="s">
        <v>119</v>
      </c>
    </row>
    <row r="75" spans="2:7" x14ac:dyDescent="0.25">
      <c r="B75" t="s">
        <v>85</v>
      </c>
      <c r="D75" t="s">
        <v>44</v>
      </c>
    </row>
    <row r="76" spans="2:7" x14ac:dyDescent="0.25">
      <c r="B76" t="s">
        <v>86</v>
      </c>
      <c r="C76" t="s">
        <v>118</v>
      </c>
      <c r="G76" t="s">
        <v>118</v>
      </c>
    </row>
    <row r="77" spans="2:7" x14ac:dyDescent="0.25">
      <c r="B77" t="s">
        <v>87</v>
      </c>
      <c r="C77" t="s">
        <v>44</v>
      </c>
    </row>
    <row r="78" spans="2:7" x14ac:dyDescent="0.25">
      <c r="B78" t="s">
        <v>88</v>
      </c>
      <c r="C78" t="s">
        <v>44</v>
      </c>
      <c r="G78" t="s">
        <v>44</v>
      </c>
    </row>
    <row r="79" spans="2:7" x14ac:dyDescent="0.25">
      <c r="B79" t="s">
        <v>89</v>
      </c>
      <c r="D79" t="s">
        <v>44</v>
      </c>
    </row>
    <row r="80" spans="2:7" x14ac:dyDescent="0.25">
      <c r="B80" t="s">
        <v>90</v>
      </c>
      <c r="D80" t="s">
        <v>44</v>
      </c>
    </row>
    <row r="81" spans="2:4" x14ac:dyDescent="0.25">
      <c r="B81" t="s">
        <v>91</v>
      </c>
      <c r="D81" t="s">
        <v>44</v>
      </c>
    </row>
    <row r="82" spans="2:4" x14ac:dyDescent="0.25">
      <c r="B82" t="s">
        <v>92</v>
      </c>
      <c r="C82" t="s">
        <v>39</v>
      </c>
    </row>
    <row r="83" spans="2:4" x14ac:dyDescent="0.25">
      <c r="B83" t="s">
        <v>93</v>
      </c>
      <c r="C83" t="s">
        <v>39</v>
      </c>
    </row>
    <row r="84" spans="2:4" x14ac:dyDescent="0.25">
      <c r="B84" t="s">
        <v>94</v>
      </c>
      <c r="C84" t="s">
        <v>39</v>
      </c>
    </row>
    <row r="85" spans="2:4" x14ac:dyDescent="0.25">
      <c r="B85" t="s">
        <v>95</v>
      </c>
      <c r="C85" t="s">
        <v>39</v>
      </c>
    </row>
    <row r="86" spans="2:4" x14ac:dyDescent="0.25">
      <c r="B86" t="s">
        <v>96</v>
      </c>
      <c r="C86" t="s">
        <v>39</v>
      </c>
    </row>
    <row r="87" spans="2:4" x14ac:dyDescent="0.25">
      <c r="B87" t="s">
        <v>97</v>
      </c>
      <c r="C87" t="s">
        <v>39</v>
      </c>
    </row>
    <row r="88" spans="2:4" x14ac:dyDescent="0.25">
      <c r="B88" t="s">
        <v>98</v>
      </c>
      <c r="C88" t="s">
        <v>39</v>
      </c>
    </row>
    <row r="89" spans="2:4" x14ac:dyDescent="0.25">
      <c r="B89" t="s">
        <v>99</v>
      </c>
      <c r="C89" t="s">
        <v>39</v>
      </c>
    </row>
    <row r="90" spans="2:4" x14ac:dyDescent="0.25">
      <c r="B90" t="s">
        <v>100</v>
      </c>
      <c r="C90" t="s">
        <v>39</v>
      </c>
    </row>
    <row r="91" spans="2:4" x14ac:dyDescent="0.25">
      <c r="B91" t="s">
        <v>101</v>
      </c>
      <c r="C91" t="s">
        <v>39</v>
      </c>
    </row>
    <row r="92" spans="2:4" x14ac:dyDescent="0.25">
      <c r="B92" t="s">
        <v>102</v>
      </c>
      <c r="C92" t="s">
        <v>44</v>
      </c>
    </row>
    <row r="93" spans="2:4" x14ac:dyDescent="0.25">
      <c r="B93" t="s">
        <v>103</v>
      </c>
      <c r="C93" t="s">
        <v>44</v>
      </c>
    </row>
    <row r="94" spans="2:4" x14ac:dyDescent="0.25">
      <c r="B94" t="s">
        <v>104</v>
      </c>
      <c r="C94" t="s">
        <v>44</v>
      </c>
    </row>
    <row r="95" spans="2:4" x14ac:dyDescent="0.25">
      <c r="B95" t="s">
        <v>105</v>
      </c>
      <c r="C95" t="s">
        <v>44</v>
      </c>
    </row>
    <row r="96" spans="2:4" x14ac:dyDescent="0.25">
      <c r="B96" t="s">
        <v>106</v>
      </c>
      <c r="C96" t="s">
        <v>44</v>
      </c>
    </row>
    <row r="97" spans="2:3" x14ac:dyDescent="0.25">
      <c r="B97" t="s">
        <v>107</v>
      </c>
      <c r="C97" t="s">
        <v>44</v>
      </c>
    </row>
    <row r="98" spans="2:3" x14ac:dyDescent="0.25">
      <c r="B98" t="s">
        <v>108</v>
      </c>
      <c r="C98" t="s">
        <v>44</v>
      </c>
    </row>
    <row r="99" spans="2:3" x14ac:dyDescent="0.25">
      <c r="B99" t="s">
        <v>109</v>
      </c>
      <c r="C99" t="s">
        <v>44</v>
      </c>
    </row>
    <row r="100" spans="2:3" x14ac:dyDescent="0.25">
      <c r="B100" t="s">
        <v>110</v>
      </c>
      <c r="C100" t="s">
        <v>44</v>
      </c>
    </row>
    <row r="101" spans="2:3" x14ac:dyDescent="0.25">
      <c r="B101" t="s">
        <v>111</v>
      </c>
      <c r="C101" t="s">
        <v>44</v>
      </c>
    </row>
    <row r="102" spans="2:3" x14ac:dyDescent="0.25">
      <c r="B102" t="s">
        <v>112</v>
      </c>
      <c r="C102" t="s">
        <v>44</v>
      </c>
    </row>
    <row r="103" spans="2:3" x14ac:dyDescent="0.25">
      <c r="B103" t="s">
        <v>113</v>
      </c>
      <c r="C103" t="s">
        <v>44</v>
      </c>
    </row>
    <row r="104" spans="2:3" x14ac:dyDescent="0.25">
      <c r="B104" t="s">
        <v>114</v>
      </c>
      <c r="C104" t="s">
        <v>44</v>
      </c>
    </row>
    <row r="105" spans="2:3" x14ac:dyDescent="0.25">
      <c r="B105" t="s">
        <v>115</v>
      </c>
      <c r="C105" t="s">
        <v>44</v>
      </c>
    </row>
    <row r="106" spans="2:3" x14ac:dyDescent="0.25">
      <c r="B106" t="s">
        <v>116</v>
      </c>
      <c r="C106" t="s">
        <v>44</v>
      </c>
    </row>
    <row r="107" spans="2:3" x14ac:dyDescent="0.25">
      <c r="B107" t="s">
        <v>117</v>
      </c>
      <c r="C107"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B5083-C9A4-41A1-8CBE-64FB443AE87E}">
  <dimension ref="E14:I30"/>
  <sheetViews>
    <sheetView workbookViewId="0">
      <selection activeCell="F31" sqref="F31"/>
    </sheetView>
  </sheetViews>
  <sheetFormatPr defaultRowHeight="15" x14ac:dyDescent="0.25"/>
  <cols>
    <col min="5" max="5" width="12" bestFit="1" customWidth="1"/>
  </cols>
  <sheetData>
    <row r="14" spans="9:9" x14ac:dyDescent="0.25">
      <c r="I14" t="s">
        <v>121</v>
      </c>
    </row>
    <row r="20" spans="5:7" x14ac:dyDescent="0.25">
      <c r="F20">
        <f>0.3368/(1/24)</f>
        <v>8.0831999999999997</v>
      </c>
    </row>
    <row r="26" spans="5:7" x14ac:dyDescent="0.25">
      <c r="E26">
        <v>36662.375</v>
      </c>
    </row>
    <row r="27" spans="5:7" x14ac:dyDescent="0.25">
      <c r="E27">
        <v>4.4672249999999999E-5</v>
      </c>
    </row>
    <row r="29" spans="5:7" x14ac:dyDescent="0.25">
      <c r="E29">
        <f>(E26+E27)</f>
        <v>36662.375044672248</v>
      </c>
      <c r="G29">
        <f>MOD(E29,1)</f>
        <v>0.37504467224789551</v>
      </c>
    </row>
    <row r="30" spans="5:7" x14ac:dyDescent="0.25">
      <c r="E30">
        <v>4.1666670000000003E-2</v>
      </c>
      <c r="G30">
        <f>G29/E30+1</f>
        <v>10.001071413863778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Fleisher, David - REE-ARS</dc:creator>
  <cp:lastModifiedBy>Fleisher, David - REE-ARS</cp:lastModifiedBy>
  <dcterms:created xsi:type="dcterms:W3CDTF">2024-04-17T11:42:16Z</dcterms:created>
  <dcterms:modified xsi:type="dcterms:W3CDTF">2024-04-17T20:34:35Z</dcterms:modified>
</cp:coreProperties>
</file>