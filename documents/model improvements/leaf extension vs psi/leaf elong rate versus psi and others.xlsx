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ICESIM-2D\RICESIM-2D\improvements\"/>
    </mc:Choice>
  </mc:AlternateContent>
  <xr:revisionPtr revIDLastSave="0" documentId="13_ncr:1_{9D90243B-0A10-43F0-A485-8DAC277CF095}" xr6:coauthVersionLast="47" xr6:coauthVersionMax="47" xr10:uidLastSave="{00000000-0000-0000-0000-000000000000}"/>
  <bookViews>
    <workbookView xWindow="-30840" yWindow="-5655" windowWidth="30960" windowHeight="16800" xr2:uid="{2269B43E-18F8-45C1-AD1A-EE837C303BF9}"/>
  </bookViews>
  <sheets>
    <sheet name="general info" sheetId="1" r:id="rId1"/>
    <sheet name="datasets for curve fitting" sheetId="2" r:id="rId2"/>
    <sheet name="comparis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3" i="2" l="1"/>
  <c r="AC33" i="2"/>
  <c r="AC32" i="2"/>
  <c r="AC31" i="2"/>
  <c r="AC30" i="2"/>
  <c r="AC29" i="2"/>
  <c r="AC28" i="2"/>
  <c r="AC27" i="2"/>
  <c r="AC17" i="2"/>
  <c r="AC16" i="2"/>
  <c r="AC15" i="2"/>
  <c r="AC14" i="2"/>
  <c r="AC13" i="2"/>
  <c r="AC12" i="2"/>
  <c r="AC11" i="2"/>
  <c r="AC10" i="2"/>
  <c r="AC9" i="2"/>
  <c r="AC8" i="2"/>
  <c r="AC7" i="2"/>
  <c r="Y32" i="2"/>
  <c r="Y31" i="2"/>
  <c r="Y30" i="2"/>
  <c r="Y29" i="2"/>
  <c r="Y28" i="2"/>
  <c r="Y27" i="2"/>
  <c r="Y15" i="2"/>
  <c r="Y14" i="2"/>
  <c r="Y13" i="2"/>
  <c r="Y12" i="2"/>
  <c r="Y11" i="2"/>
  <c r="Y10" i="2"/>
  <c r="Y9" i="2"/>
  <c r="Y8" i="2"/>
  <c r="Y7" i="2"/>
  <c r="U36" i="2"/>
  <c r="U35" i="2"/>
  <c r="U34" i="2"/>
  <c r="U33" i="2"/>
  <c r="U32" i="2"/>
  <c r="U31" i="2"/>
  <c r="U30" i="2"/>
  <c r="U29" i="2"/>
  <c r="U28" i="2"/>
  <c r="U27" i="2"/>
  <c r="U18" i="2"/>
  <c r="U17" i="2"/>
  <c r="U16" i="2"/>
  <c r="U15" i="2"/>
  <c r="U14" i="2"/>
  <c r="U13" i="2"/>
  <c r="U12" i="2"/>
  <c r="U11" i="2"/>
  <c r="U10" i="2"/>
  <c r="U9" i="2"/>
  <c r="U8" i="2"/>
  <c r="U7" i="2"/>
  <c r="O38" i="2"/>
  <c r="O37" i="2"/>
  <c r="O36" i="2"/>
  <c r="O35" i="2"/>
  <c r="O34" i="2"/>
  <c r="O33" i="2"/>
  <c r="O32" i="2"/>
  <c r="O31" i="2"/>
  <c r="O30" i="2"/>
  <c r="O29" i="2"/>
  <c r="O28" i="2"/>
  <c r="O27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K38" i="2"/>
  <c r="K37" i="2"/>
  <c r="K36" i="2"/>
  <c r="K35" i="2"/>
  <c r="K34" i="2"/>
  <c r="K33" i="2"/>
  <c r="K32" i="2"/>
  <c r="K31" i="2"/>
  <c r="K30" i="2"/>
  <c r="K29" i="2"/>
  <c r="K28" i="2"/>
  <c r="K27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C33" i="2"/>
  <c r="C34" i="2"/>
  <c r="C32" i="2"/>
  <c r="C31" i="2"/>
  <c r="C30" i="2"/>
  <c r="C29" i="2"/>
  <c r="C28" i="2"/>
  <c r="C27" i="2"/>
  <c r="G38" i="2"/>
  <c r="G37" i="2"/>
  <c r="G36" i="2"/>
  <c r="G35" i="2"/>
  <c r="G34" i="2"/>
  <c r="G33" i="2"/>
  <c r="G32" i="2"/>
  <c r="G31" i="2"/>
  <c r="G30" i="2"/>
  <c r="G29" i="2"/>
  <c r="G28" i="2"/>
  <c r="G27" i="2"/>
  <c r="G8" i="2"/>
  <c r="G9" i="2"/>
  <c r="G10" i="2"/>
  <c r="G11" i="2"/>
  <c r="G12" i="2"/>
  <c r="G13" i="2"/>
  <c r="G14" i="2"/>
  <c r="G15" i="2"/>
  <c r="G16" i="2"/>
  <c r="G17" i="2"/>
  <c r="G18" i="2"/>
  <c r="G19" i="2"/>
  <c r="G7" i="2"/>
  <c r="C8" i="2"/>
  <c r="C9" i="2"/>
  <c r="C10" i="2"/>
  <c r="C11" i="2"/>
  <c r="C12" i="2"/>
  <c r="C13" i="2"/>
  <c r="C14" i="2"/>
  <c r="C15" i="2"/>
  <c r="C16" i="2"/>
  <c r="C17" i="2"/>
  <c r="C18" i="2"/>
  <c r="C19" i="2"/>
  <c r="C7" i="2"/>
</calcChain>
</file>

<file path=xl/sharedStrings.xml><?xml version="1.0" encoding="utf-8"?>
<sst xmlns="http://schemas.openxmlformats.org/spreadsheetml/2006/main" count="569" uniqueCount="74">
  <si>
    <t>and</t>
  </si>
  <si>
    <r>
      <t xml:space="preserve">Parent, B., B. Suard, R. Serraj and F. Tardieu (2010). "Rice leaf growth and water potential are resilient to evaporative demand and soil water deficit once the effects of root system are neutralized." </t>
    </r>
    <r>
      <rPr>
        <u/>
        <sz val="11"/>
        <color theme="1"/>
        <rFont val="Calibri"/>
        <family val="2"/>
        <scheme val="minor"/>
      </rPr>
      <t>Plant Cell Environ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33</t>
    </r>
    <r>
      <rPr>
        <sz val="11"/>
        <color theme="1"/>
        <rFont val="Calibri"/>
        <family val="2"/>
        <scheme val="minor"/>
      </rPr>
      <t>(8): 1256-1267.</t>
    </r>
  </si>
  <si>
    <t>LER versus predawn lwp for 3 to 6 leaves, daily sampled pots, rapid induced stress</t>
  </si>
  <si>
    <t>control represents non conditioned plants</t>
  </si>
  <si>
    <t>Cutler</t>
  </si>
  <si>
    <t>J.</t>
  </si>
  <si>
    <t>M.</t>
  </si>
  <si>
    <t>K.</t>
  </si>
  <si>
    <t>W.</t>
  </si>
  <si>
    <t>Shahan</t>
  </si>
  <si>
    <t>P.</t>
  </si>
  <si>
    <t>L.</t>
  </si>
  <si>
    <t>Steponkus</t>
  </si>
  <si>
    <t>(1980).</t>
  </si>
  <si>
    <t>Influence of Water Deficits and Osmotic Adjustment on Leaf Elongation in Rice1.</t>
  </si>
  <si>
    <t>Crop</t>
  </si>
  <si>
    <t>Science</t>
  </si>
  <si>
    <t>20(3):</t>
  </si>
  <si>
    <t>314-318.</t>
  </si>
  <si>
    <t>upland rice studies</t>
  </si>
  <si>
    <t>idea is to evaluate osmotic adjustment as mechanism for increasing turger when LWP declines and how it may be influenced by prior drought studies</t>
  </si>
  <si>
    <t>four varieties tested in pots</t>
  </si>
  <si>
    <t>control - daily irrigated until stress period</t>
  </si>
  <si>
    <t xml:space="preserve">precondition - AWD cycles proior to stress period </t>
  </si>
  <si>
    <t>stress period was 5 to 6 day rapid stress with water withheld</t>
  </si>
  <si>
    <t>three varieties in bins</t>
  </si>
  <si>
    <t>control - daily irrigated until challenge stress</t>
  </si>
  <si>
    <t>conditioned - drying cycle for 11 to 14 day slow ycle</t>
  </si>
  <si>
    <t xml:space="preserve">leaf length and pressurebomb measurements on leaves 3 to 6 of similar tillers and locations </t>
  </si>
  <si>
    <t>-LER based on ink ligule and therafter</t>
  </si>
  <si>
    <t xml:space="preserve">Below: </t>
  </si>
  <si>
    <t>as above but conditioned / slow development in bins for longer term water stress application</t>
  </si>
  <si>
    <t>Below: LER versus rapid stress (5 to 6 days) versus predawn water potential; control - no predrought; conditions - had a predrought</t>
  </si>
  <si>
    <t>Goal</t>
  </si>
  <si>
    <t>average the data together across cultivars for control verss conditions for :slow versus early responses.</t>
  </si>
  <si>
    <t>cultivar 63-03</t>
  </si>
  <si>
    <t>Extracted from Cutler using graphreader</t>
  </si>
  <si>
    <t>x-axis</t>
  </si>
  <si>
    <t>LER (cm d-1)</t>
  </si>
  <si>
    <t>psi</t>
  </si>
  <si>
    <t>CONDITIONED RESPONSES THIS UPPER SECTION</t>
  </si>
  <si>
    <t>cultivar 'SALUMPPIKIT'</t>
  </si>
  <si>
    <t>CONTROL RESPONSES THIS LOWER SECTION</t>
  </si>
  <si>
    <t>cultivar 'KINANDANG PATONG'</t>
  </si>
  <si>
    <t>cultivar 'IRAT 13'</t>
  </si>
  <si>
    <t>slow droughted response curves</t>
  </si>
  <si>
    <t>fast droughted response curves</t>
  </si>
  <si>
    <t>cultivar 'RIKUTA NORIN 21'</t>
  </si>
  <si>
    <t>all together</t>
  </si>
  <si>
    <t>LER</t>
  </si>
  <si>
    <t>variety</t>
  </si>
  <si>
    <t>drought</t>
  </si>
  <si>
    <t>condition</t>
  </si>
  <si>
    <t>pre</t>
  </si>
  <si>
    <t>Psi</t>
  </si>
  <si>
    <t>fast</t>
  </si>
  <si>
    <t>control</t>
  </si>
  <si>
    <t>c6303</t>
  </si>
  <si>
    <t>salum</t>
  </si>
  <si>
    <t>kinan</t>
  </si>
  <si>
    <t>irat</t>
  </si>
  <si>
    <t xml:space="preserve">slow </t>
  </si>
  <si>
    <t>rikuta</t>
  </si>
  <si>
    <t>From R</t>
  </si>
  <si>
    <t>sf</t>
  </si>
  <si>
    <t>phyf</t>
  </si>
  <si>
    <t>For rapid, preconditioned response</t>
  </si>
  <si>
    <t>pre fast</t>
  </si>
  <si>
    <t>control fast</t>
  </si>
  <si>
    <t>pre slow</t>
  </si>
  <si>
    <t>control slow</t>
  </si>
  <si>
    <t>no fit</t>
  </si>
  <si>
    <t>for rapid contorl response</t>
  </si>
  <si>
    <t>for slow preconditioned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</si>
</sst>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rgb="FF00000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quotePrefix="1"/>
    <xf numFmtId="0" fontId="3" fillId="0" borderId="0" xfId="0" applyFont="1" applyAlignment="1">
      <alignment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6.jpeg"/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1</xdr:col>
      <xdr:colOff>3943350</xdr:colOff>
      <xdr:row>19</xdr:row>
      <xdr:rowOff>85725</xdr:rowOff>
    </xdr:to>
    <xdr:pic>
      <xdr:nvPicPr>
        <xdr:cNvPr id="2" name="Picture 1" descr="Details are in the caption following the image">
          <a:extLst>
            <a:ext uri="{FF2B5EF4-FFF2-40B4-BE49-F238E27FC236}">
              <a16:creationId xmlns:a16="http://schemas.microsoft.com/office/drawing/2014/main" id="{5EC59B85-3F14-7DE6-0821-C57E6219F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4552950" cy="2752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1</xdr:col>
      <xdr:colOff>3943350</xdr:colOff>
      <xdr:row>44</xdr:row>
      <xdr:rowOff>133350</xdr:rowOff>
    </xdr:to>
    <xdr:pic>
      <xdr:nvPicPr>
        <xdr:cNvPr id="3" name="Picture 2" descr="Details are in the caption following the image">
          <a:extLst>
            <a:ext uri="{FF2B5EF4-FFF2-40B4-BE49-F238E27FC236}">
              <a16:creationId xmlns:a16="http://schemas.microsoft.com/office/drawing/2014/main" id="{40FA7B63-55D3-DE6D-C491-47382D465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2000"/>
          <a:ext cx="4552950" cy="394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47625</xdr:colOff>
      <xdr:row>5</xdr:row>
      <xdr:rowOff>57150</xdr:rowOff>
    </xdr:from>
    <xdr:to>
      <xdr:col>18</xdr:col>
      <xdr:colOff>10541</xdr:colOff>
      <xdr:row>26</xdr:row>
      <xdr:rowOff>29129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769AE1-FD66-CF5A-7E7A-71C711CFE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15200" y="1981200"/>
          <a:ext cx="7278116" cy="3972479"/>
        </a:xfrm>
        <a:prstGeom prst="rect">
          <a:avLst/>
        </a:prstGeom>
      </xdr:spPr>
    </xdr:pic>
    <xdr:clientData/>
  </xdr:twoCellAnchor>
  <xdr:twoCellAnchor editAs="oneCell">
    <xdr:from>
      <xdr:col>6</xdr:col>
      <xdr:colOff>209550</xdr:colOff>
      <xdr:row>29</xdr:row>
      <xdr:rowOff>38100</xdr:rowOff>
    </xdr:from>
    <xdr:to>
      <xdr:col>17</xdr:col>
      <xdr:colOff>57150</xdr:colOff>
      <xdr:row>49</xdr:row>
      <xdr:rowOff>181527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8EA9E7-8E52-A7CD-8704-74F77B2E8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77125" y="6534150"/>
          <a:ext cx="6553200" cy="39534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57150</xdr:colOff>
      <xdr:row>5</xdr:row>
      <xdr:rowOff>152400</xdr:rowOff>
    </xdr:from>
    <xdr:to>
      <xdr:col>43</xdr:col>
      <xdr:colOff>306255</xdr:colOff>
      <xdr:row>24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D898D2-AED1-EBFF-5E7E-051664BCB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12350" y="1104900"/>
          <a:ext cx="3906705" cy="3505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342901</xdr:colOff>
      <xdr:row>5</xdr:row>
      <xdr:rowOff>57150</xdr:rowOff>
    </xdr:from>
    <xdr:to>
      <xdr:col>57</xdr:col>
      <xdr:colOff>114301</xdr:colOff>
      <xdr:row>24</xdr:row>
      <xdr:rowOff>61190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2ED226-7D22-7360-C451-B8727FE7A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22901" y="1009650"/>
          <a:ext cx="4038600" cy="362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466725</xdr:colOff>
      <xdr:row>5</xdr:row>
      <xdr:rowOff>152399</xdr:rowOff>
    </xdr:from>
    <xdr:to>
      <xdr:col>50</xdr:col>
      <xdr:colOff>138078</xdr:colOff>
      <xdr:row>24</xdr:row>
      <xdr:rowOff>66674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696FBF4-1777-E63C-1A01-36EA3D55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9525" y="1104899"/>
          <a:ext cx="3938553" cy="3533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F3862-3B9D-47B6-A164-691B579CEC47}">
  <dimension ref="B2:V29"/>
  <sheetViews>
    <sheetView tabSelected="1" topLeftCell="E1" workbookViewId="0">
      <selection activeCell="U30" sqref="U30"/>
    </sheetView>
  </sheetViews>
  <sheetFormatPr defaultRowHeight="15" x14ac:dyDescent="0.25"/>
  <cols>
    <col min="2" max="2" width="63.28515625" customWidth="1"/>
  </cols>
  <sheetData>
    <row r="2" spans="2:22" ht="91.5" customHeight="1" x14ac:dyDescent="0.25">
      <c r="B2" s="1" t="s">
        <v>1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0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16</v>
      </c>
      <c r="U2" t="s">
        <v>17</v>
      </c>
      <c r="V2" t="s">
        <v>18</v>
      </c>
    </row>
    <row r="3" spans="2:22" x14ac:dyDescent="0.25">
      <c r="G3" t="s">
        <v>2</v>
      </c>
    </row>
    <row r="4" spans="2:22" x14ac:dyDescent="0.25">
      <c r="G4" t="s">
        <v>3</v>
      </c>
    </row>
    <row r="5" spans="2:22" x14ac:dyDescent="0.25">
      <c r="G5" t="s">
        <v>32</v>
      </c>
      <c r="T5" t="s">
        <v>19</v>
      </c>
    </row>
    <row r="6" spans="2:22" x14ac:dyDescent="0.25">
      <c r="U6" t="s">
        <v>20</v>
      </c>
    </row>
    <row r="7" spans="2:22" x14ac:dyDescent="0.25">
      <c r="T7" t="s">
        <v>21</v>
      </c>
    </row>
    <row r="8" spans="2:22" x14ac:dyDescent="0.25">
      <c r="U8" t="s">
        <v>22</v>
      </c>
    </row>
    <row r="9" spans="2:22" x14ac:dyDescent="0.25">
      <c r="U9" t="s">
        <v>23</v>
      </c>
    </row>
    <row r="10" spans="2:22" x14ac:dyDescent="0.25">
      <c r="U10" t="s">
        <v>24</v>
      </c>
    </row>
    <row r="12" spans="2:22" x14ac:dyDescent="0.25">
      <c r="T12" t="s">
        <v>25</v>
      </c>
    </row>
    <row r="13" spans="2:22" x14ac:dyDescent="0.25">
      <c r="U13" t="s">
        <v>26</v>
      </c>
    </row>
    <row r="14" spans="2:22" x14ac:dyDescent="0.25">
      <c r="U14" t="s">
        <v>27</v>
      </c>
    </row>
    <row r="16" spans="2:22" x14ac:dyDescent="0.25">
      <c r="T16" t="s">
        <v>28</v>
      </c>
    </row>
    <row r="17" spans="7:21" x14ac:dyDescent="0.25">
      <c r="U17" s="2" t="s">
        <v>29</v>
      </c>
    </row>
    <row r="23" spans="7:21" x14ac:dyDescent="0.25">
      <c r="T23" t="s">
        <v>33</v>
      </c>
    </row>
    <row r="24" spans="7:21" x14ac:dyDescent="0.25">
      <c r="U24" t="s">
        <v>34</v>
      </c>
    </row>
    <row r="28" spans="7:21" x14ac:dyDescent="0.25">
      <c r="G28" t="s">
        <v>30</v>
      </c>
    </row>
    <row r="29" spans="7:21" x14ac:dyDescent="0.25">
      <c r="G29" t="s">
        <v>31</v>
      </c>
    </row>
  </sheetData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6DF46-2731-43F0-8508-2BC17CEB9A3A}">
  <dimension ref="A1:AZ154"/>
  <sheetViews>
    <sheetView workbookViewId="0">
      <selection activeCell="AS1" sqref="AS1:AS3"/>
    </sheetView>
  </sheetViews>
  <sheetFormatPr defaultRowHeight="15" x14ac:dyDescent="0.25"/>
  <sheetData>
    <row r="1" spans="1:52" x14ac:dyDescent="0.25">
      <c r="A1" t="s">
        <v>36</v>
      </c>
      <c r="AF1" t="s">
        <v>48</v>
      </c>
      <c r="AM1" t="s">
        <v>63</v>
      </c>
      <c r="AP1" t="s">
        <v>67</v>
      </c>
      <c r="AQ1" t="s">
        <v>68</v>
      </c>
      <c r="AS1" s="4" t="s">
        <v>69</v>
      </c>
      <c r="AT1" t="s">
        <v>70</v>
      </c>
    </row>
    <row r="2" spans="1:52" x14ac:dyDescent="0.25">
      <c r="A2" t="s">
        <v>46</v>
      </c>
      <c r="S2" t="s">
        <v>45</v>
      </c>
      <c r="AF2" t="s">
        <v>49</v>
      </c>
      <c r="AG2" t="s">
        <v>54</v>
      </c>
      <c r="AH2" t="s">
        <v>50</v>
      </c>
      <c r="AI2" t="s">
        <v>51</v>
      </c>
      <c r="AJ2" t="s">
        <v>52</v>
      </c>
      <c r="AO2" t="s">
        <v>64</v>
      </c>
      <c r="AP2">
        <v>5.44</v>
      </c>
      <c r="AQ2">
        <v>12.84</v>
      </c>
      <c r="AS2" s="4">
        <v>3.2080000000000002</v>
      </c>
      <c r="AT2" t="s">
        <v>71</v>
      </c>
    </row>
    <row r="3" spans="1:52" x14ac:dyDescent="0.25">
      <c r="AF3">
        <v>0.151</v>
      </c>
      <c r="AG3">
        <v>-1.3763999999999998</v>
      </c>
      <c r="AH3" t="s">
        <v>57</v>
      </c>
      <c r="AI3" t="s">
        <v>55</v>
      </c>
      <c r="AJ3" t="s">
        <v>53</v>
      </c>
      <c r="AO3" t="s">
        <v>65</v>
      </c>
      <c r="AP3">
        <v>-0.31</v>
      </c>
      <c r="AQ3">
        <v>-0.26500000000000001</v>
      </c>
      <c r="AS3" s="4">
        <v>-0.18</v>
      </c>
    </row>
    <row r="4" spans="1:52" x14ac:dyDescent="0.25">
      <c r="A4" t="s">
        <v>40</v>
      </c>
      <c r="AF4">
        <v>0.21099999999999999</v>
      </c>
      <c r="AG4">
        <v>-1.3039999999999998</v>
      </c>
      <c r="AH4" t="s">
        <v>57</v>
      </c>
      <c r="AI4" t="s">
        <v>55</v>
      </c>
      <c r="AJ4" t="s">
        <v>53</v>
      </c>
    </row>
    <row r="5" spans="1:52" x14ac:dyDescent="0.25">
      <c r="A5" t="s">
        <v>35</v>
      </c>
      <c r="E5" t="s">
        <v>41</v>
      </c>
      <c r="I5" t="s">
        <v>43</v>
      </c>
      <c r="M5" t="s">
        <v>44</v>
      </c>
      <c r="S5" t="s">
        <v>44</v>
      </c>
      <c r="W5" t="s">
        <v>47</v>
      </c>
      <c r="AA5" t="s">
        <v>43</v>
      </c>
      <c r="AF5">
        <v>0.21099999999999999</v>
      </c>
      <c r="AG5">
        <v>-1.2358</v>
      </c>
      <c r="AH5" t="s">
        <v>57</v>
      </c>
      <c r="AI5" t="s">
        <v>55</v>
      </c>
      <c r="AJ5" t="s">
        <v>53</v>
      </c>
      <c r="AM5" t="s">
        <v>66</v>
      </c>
      <c r="AS5" t="s">
        <v>72</v>
      </c>
      <c r="AZ5" t="s">
        <v>73</v>
      </c>
    </row>
    <row r="6" spans="1:52" x14ac:dyDescent="0.25">
      <c r="A6" t="s">
        <v>37</v>
      </c>
      <c r="B6" t="s">
        <v>38</v>
      </c>
      <c r="C6" t="s">
        <v>39</v>
      </c>
      <c r="E6" t="s">
        <v>37</v>
      </c>
      <c r="F6" t="s">
        <v>38</v>
      </c>
      <c r="G6" t="s">
        <v>39</v>
      </c>
      <c r="I6" t="s">
        <v>37</v>
      </c>
      <c r="J6" t="s">
        <v>38</v>
      </c>
      <c r="K6" t="s">
        <v>39</v>
      </c>
      <c r="M6" t="s">
        <v>37</v>
      </c>
      <c r="N6" t="s">
        <v>38</v>
      </c>
      <c r="O6" t="s">
        <v>39</v>
      </c>
      <c r="S6" t="s">
        <v>37</v>
      </c>
      <c r="T6" t="s">
        <v>38</v>
      </c>
      <c r="U6" t="s">
        <v>39</v>
      </c>
      <c r="W6" t="s">
        <v>37</v>
      </c>
      <c r="X6" t="s">
        <v>38</v>
      </c>
      <c r="Y6" t="s">
        <v>39</v>
      </c>
      <c r="AA6" t="s">
        <v>37</v>
      </c>
      <c r="AB6" t="s">
        <v>38</v>
      </c>
      <c r="AC6" t="s">
        <v>39</v>
      </c>
      <c r="AF6">
        <v>0.99399999999999999</v>
      </c>
      <c r="AG6">
        <v>-1.0142</v>
      </c>
      <c r="AH6" t="s">
        <v>57</v>
      </c>
      <c r="AI6" t="s">
        <v>55</v>
      </c>
      <c r="AJ6" t="s">
        <v>53</v>
      </c>
    </row>
    <row r="7" spans="1:52" x14ac:dyDescent="0.25">
      <c r="A7">
        <v>1.236</v>
      </c>
      <c r="B7">
        <v>0.151</v>
      </c>
      <c r="C7">
        <f>(A7-15)/10</f>
        <v>-1.3763999999999998</v>
      </c>
      <c r="E7" s="3">
        <v>3.5169999999999999</v>
      </c>
      <c r="F7">
        <v>6.0999999999999999E-2</v>
      </c>
      <c r="G7">
        <f>(E7-15)/10</f>
        <v>-1.1483000000000001</v>
      </c>
      <c r="I7" s="3">
        <v>1.306</v>
      </c>
      <c r="J7">
        <v>0.152</v>
      </c>
      <c r="K7">
        <f>(I7-15)/10</f>
        <v>-1.3694</v>
      </c>
      <c r="M7" s="3">
        <v>0.72</v>
      </c>
      <c r="N7">
        <v>9.0999999999999998E-2</v>
      </c>
      <c r="O7">
        <f>(M7-15)/10</f>
        <v>-1.4279999999999999</v>
      </c>
      <c r="S7" s="3">
        <v>1.2250000000000001</v>
      </c>
      <c r="T7">
        <v>9.9000000000000005E-2</v>
      </c>
      <c r="U7">
        <f>(S7-15)/10</f>
        <v>-1.3774999999999999</v>
      </c>
      <c r="W7" s="3">
        <v>12.228999999999999</v>
      </c>
      <c r="X7">
        <v>5.3040000000000003</v>
      </c>
      <c r="Y7">
        <f>(W7-15)/10</f>
        <v>-0.27710000000000007</v>
      </c>
      <c r="AA7" s="3">
        <v>2.7370000000000001</v>
      </c>
      <c r="AB7">
        <v>0.13200000000000001</v>
      </c>
      <c r="AC7">
        <f>(AA7-15)/10</f>
        <v>-1.2262999999999999</v>
      </c>
      <c r="AF7">
        <v>1.325</v>
      </c>
      <c r="AG7">
        <v>-0.97160000000000013</v>
      </c>
      <c r="AH7" t="s">
        <v>57</v>
      </c>
      <c r="AI7" t="s">
        <v>55</v>
      </c>
      <c r="AJ7" t="s">
        <v>53</v>
      </c>
    </row>
    <row r="8" spans="1:52" x14ac:dyDescent="0.25">
      <c r="A8">
        <v>1.96</v>
      </c>
      <c r="B8">
        <v>0.21099999999999999</v>
      </c>
      <c r="C8">
        <f t="shared" ref="C8:C19" si="0">(A8-15)/10</f>
        <v>-1.3039999999999998</v>
      </c>
      <c r="E8" s="3">
        <v>4.407</v>
      </c>
      <c r="F8">
        <v>9.0999999999999998E-2</v>
      </c>
      <c r="G8">
        <f t="shared" ref="G8:G19" si="1">(E8-15)/10</f>
        <v>-1.0592999999999999</v>
      </c>
      <c r="I8" s="3">
        <v>4.1289999999999996</v>
      </c>
      <c r="J8">
        <v>0.63600000000000001</v>
      </c>
      <c r="K8">
        <f t="shared" ref="K8:K19" si="2">(I8-15)/10</f>
        <v>-1.0871</v>
      </c>
      <c r="M8" s="3">
        <v>1.5249999999999999</v>
      </c>
      <c r="N8">
        <v>9.0999999999999998E-2</v>
      </c>
      <c r="O8">
        <f t="shared" ref="O8:O19" si="3">(M8-15)/10</f>
        <v>-1.3474999999999999</v>
      </c>
      <c r="S8" s="3">
        <v>3.8610000000000002</v>
      </c>
      <c r="T8">
        <v>3.3000000000000002E-2</v>
      </c>
      <c r="U8">
        <f t="shared" ref="U8:U18" si="4">(S8-15)/10</f>
        <v>-1.1138999999999999</v>
      </c>
      <c r="W8" s="3">
        <v>11.526999999999999</v>
      </c>
      <c r="X8">
        <v>3.68</v>
      </c>
      <c r="Y8">
        <f t="shared" ref="Y8:Y15" si="5">(W8-15)/10</f>
        <v>-0.34730000000000005</v>
      </c>
      <c r="AA8" s="3">
        <v>3.8250000000000002</v>
      </c>
      <c r="AB8">
        <v>6.6000000000000003E-2</v>
      </c>
      <c r="AC8">
        <f t="shared" ref="AC8:AC17" si="6">(AA8-15)/10</f>
        <v>-1.1175000000000002</v>
      </c>
      <c r="AF8">
        <v>1.325</v>
      </c>
      <c r="AG8">
        <v>-0.88640000000000008</v>
      </c>
      <c r="AH8" t="s">
        <v>57</v>
      </c>
      <c r="AI8" t="s">
        <v>55</v>
      </c>
      <c r="AJ8" t="s">
        <v>53</v>
      </c>
    </row>
    <row r="9" spans="1:52" x14ac:dyDescent="0.25">
      <c r="A9">
        <v>2.6419999999999999</v>
      </c>
      <c r="B9">
        <v>0.21099999999999999</v>
      </c>
      <c r="C9">
        <f t="shared" si="0"/>
        <v>-1.2358</v>
      </c>
      <c r="E9" s="3">
        <v>5.3390000000000004</v>
      </c>
      <c r="F9">
        <v>0.152</v>
      </c>
      <c r="G9">
        <f t="shared" si="1"/>
        <v>-0.96609999999999996</v>
      </c>
      <c r="I9" s="3">
        <v>6.1520000000000001</v>
      </c>
      <c r="J9">
        <v>0.90900000000000003</v>
      </c>
      <c r="K9">
        <f t="shared" si="2"/>
        <v>-0.88479999999999992</v>
      </c>
      <c r="M9" s="3">
        <v>3.7290000000000001</v>
      </c>
      <c r="N9">
        <v>1.03</v>
      </c>
      <c r="O9">
        <f t="shared" si="3"/>
        <v>-1.1271</v>
      </c>
      <c r="S9" s="3">
        <v>4.01</v>
      </c>
      <c r="T9">
        <v>0.26500000000000001</v>
      </c>
      <c r="U9">
        <f t="shared" si="4"/>
        <v>-1.099</v>
      </c>
      <c r="W9" s="3">
        <v>11.084</v>
      </c>
      <c r="X9">
        <v>3.0830000000000002</v>
      </c>
      <c r="Y9">
        <f t="shared" si="5"/>
        <v>-0.39160000000000006</v>
      </c>
      <c r="AA9" s="3">
        <v>4.3499999999999996</v>
      </c>
      <c r="AB9">
        <v>0.75800000000000001</v>
      </c>
      <c r="AC9">
        <f t="shared" si="6"/>
        <v>-1.0649999999999999</v>
      </c>
      <c r="AF9">
        <v>0.66300000000000003</v>
      </c>
      <c r="AG9">
        <v>-0.80970000000000009</v>
      </c>
      <c r="AH9" t="s">
        <v>57</v>
      </c>
      <c r="AI9" t="s">
        <v>55</v>
      </c>
      <c r="AJ9" t="s">
        <v>53</v>
      </c>
    </row>
    <row r="10" spans="1:52" x14ac:dyDescent="0.25">
      <c r="A10">
        <v>4.8579999999999997</v>
      </c>
      <c r="B10">
        <v>0.99399999999999999</v>
      </c>
      <c r="C10">
        <f t="shared" si="0"/>
        <v>-1.0142</v>
      </c>
      <c r="E10" s="3">
        <v>5.7629999999999999</v>
      </c>
      <c r="F10">
        <v>0.42599999999999999</v>
      </c>
      <c r="G10">
        <f t="shared" si="1"/>
        <v>-0.92369999999999997</v>
      </c>
      <c r="I10" s="3">
        <v>9.6069999999999993</v>
      </c>
      <c r="J10">
        <v>2.1520000000000001</v>
      </c>
      <c r="K10">
        <f t="shared" si="2"/>
        <v>-0.53930000000000011</v>
      </c>
      <c r="M10" s="3">
        <v>4.6609999999999996</v>
      </c>
      <c r="N10">
        <v>1.5149999999999999</v>
      </c>
      <c r="O10">
        <f t="shared" si="3"/>
        <v>-1.0339</v>
      </c>
      <c r="S10" s="3">
        <v>4.6040000000000001</v>
      </c>
      <c r="T10">
        <v>0.39800000000000002</v>
      </c>
      <c r="U10">
        <f t="shared" si="4"/>
        <v>-1.0396000000000001</v>
      </c>
      <c r="W10" s="3">
        <v>9.0890000000000004</v>
      </c>
      <c r="X10">
        <v>2.3540000000000001</v>
      </c>
      <c r="Y10">
        <f t="shared" si="5"/>
        <v>-0.59109999999999996</v>
      </c>
      <c r="AA10" s="3">
        <v>4.95</v>
      </c>
      <c r="AB10">
        <v>2.077</v>
      </c>
      <c r="AC10">
        <f t="shared" si="6"/>
        <v>-1.0050000000000001</v>
      </c>
      <c r="AF10">
        <v>1.3859999999999999</v>
      </c>
      <c r="AG10">
        <v>-0.51140000000000008</v>
      </c>
      <c r="AH10" t="s">
        <v>57</v>
      </c>
      <c r="AI10" t="s">
        <v>55</v>
      </c>
      <c r="AJ10" t="s">
        <v>53</v>
      </c>
    </row>
    <row r="11" spans="1:52" x14ac:dyDescent="0.25">
      <c r="A11">
        <v>5.2839999999999998</v>
      </c>
      <c r="B11">
        <v>1.325</v>
      </c>
      <c r="C11">
        <f t="shared" si="0"/>
        <v>-0.97160000000000013</v>
      </c>
      <c r="E11" s="3">
        <v>6.3559999999999999</v>
      </c>
      <c r="F11">
        <v>0.42599999999999999</v>
      </c>
      <c r="G11">
        <f t="shared" si="1"/>
        <v>-0.86440000000000006</v>
      </c>
      <c r="I11" s="3">
        <v>10.618</v>
      </c>
      <c r="J11">
        <v>2.6059999999999999</v>
      </c>
      <c r="K11">
        <f t="shared" si="2"/>
        <v>-0.43819999999999998</v>
      </c>
      <c r="M11" s="3">
        <v>6.1020000000000003</v>
      </c>
      <c r="N11">
        <v>0.90900000000000003</v>
      </c>
      <c r="O11">
        <f t="shared" si="3"/>
        <v>-0.88979999999999992</v>
      </c>
      <c r="S11" s="3">
        <v>5.2720000000000002</v>
      </c>
      <c r="T11">
        <v>1.1599999999999999</v>
      </c>
      <c r="U11">
        <f t="shared" si="4"/>
        <v>-0.9728</v>
      </c>
      <c r="W11" s="3">
        <v>6.5759999999999996</v>
      </c>
      <c r="X11">
        <v>1.2929999999999999</v>
      </c>
      <c r="Y11">
        <f t="shared" si="5"/>
        <v>-0.84239999999999993</v>
      </c>
      <c r="AA11" s="3">
        <v>10.35</v>
      </c>
      <c r="AB11">
        <v>3.0990000000000002</v>
      </c>
      <c r="AC11">
        <f t="shared" si="6"/>
        <v>-0.46500000000000002</v>
      </c>
      <c r="AF11">
        <v>2.1080000000000001</v>
      </c>
      <c r="AG11">
        <v>-0.34090000000000009</v>
      </c>
      <c r="AH11" t="s">
        <v>57</v>
      </c>
      <c r="AI11" t="s">
        <v>55</v>
      </c>
      <c r="AJ11" t="s">
        <v>53</v>
      </c>
    </row>
    <row r="12" spans="1:52" x14ac:dyDescent="0.25">
      <c r="A12">
        <v>6.1360000000000001</v>
      </c>
      <c r="B12">
        <v>1.325</v>
      </c>
      <c r="C12">
        <f t="shared" si="0"/>
        <v>-0.88640000000000008</v>
      </c>
      <c r="E12" s="3">
        <v>6.6950000000000003</v>
      </c>
      <c r="F12">
        <v>0.91300000000000003</v>
      </c>
      <c r="G12">
        <f t="shared" si="1"/>
        <v>-0.83050000000000002</v>
      </c>
      <c r="I12" s="3">
        <v>11.208</v>
      </c>
      <c r="J12">
        <v>3.3330000000000002</v>
      </c>
      <c r="K12">
        <f t="shared" si="2"/>
        <v>-0.37919999999999998</v>
      </c>
      <c r="M12" s="3">
        <v>6.4409999999999998</v>
      </c>
      <c r="N12">
        <v>0.57599999999999996</v>
      </c>
      <c r="O12">
        <f t="shared" si="3"/>
        <v>-0.85590000000000011</v>
      </c>
      <c r="S12" s="3">
        <v>7.1289999999999996</v>
      </c>
      <c r="T12">
        <v>0.76200000000000001</v>
      </c>
      <c r="U12">
        <f t="shared" si="4"/>
        <v>-0.78710000000000002</v>
      </c>
      <c r="W12" s="3">
        <v>3.621</v>
      </c>
      <c r="X12">
        <v>0.39800000000000002</v>
      </c>
      <c r="Y12">
        <f t="shared" si="5"/>
        <v>-1.1378999999999999</v>
      </c>
      <c r="AA12" s="3">
        <v>11.025</v>
      </c>
      <c r="AB12">
        <v>2.9340000000000002</v>
      </c>
      <c r="AC12">
        <f t="shared" si="6"/>
        <v>-0.39749999999999996</v>
      </c>
      <c r="AF12">
        <v>2.5299999999999998</v>
      </c>
      <c r="AG12">
        <v>-0.32390000000000008</v>
      </c>
      <c r="AH12" t="s">
        <v>57</v>
      </c>
      <c r="AI12" t="s">
        <v>55</v>
      </c>
      <c r="AJ12" t="s">
        <v>53</v>
      </c>
    </row>
    <row r="13" spans="1:52" x14ac:dyDescent="0.25">
      <c r="A13">
        <v>6.9029999999999996</v>
      </c>
      <c r="B13">
        <v>0.66300000000000003</v>
      </c>
      <c r="C13">
        <f t="shared" si="0"/>
        <v>-0.80970000000000009</v>
      </c>
      <c r="E13" s="3">
        <v>9.1530000000000005</v>
      </c>
      <c r="F13">
        <v>2.3119999999999998</v>
      </c>
      <c r="G13">
        <f t="shared" si="1"/>
        <v>-0.5847</v>
      </c>
      <c r="I13" s="3">
        <v>11.882</v>
      </c>
      <c r="J13">
        <v>3.3940000000000001</v>
      </c>
      <c r="K13">
        <f t="shared" si="2"/>
        <v>-0.31180000000000002</v>
      </c>
      <c r="M13" s="3">
        <v>10.085000000000001</v>
      </c>
      <c r="N13">
        <v>3.8479999999999999</v>
      </c>
      <c r="O13">
        <f t="shared" si="3"/>
        <v>-0.49149999999999994</v>
      </c>
      <c r="S13" s="3">
        <v>7.4260000000000002</v>
      </c>
      <c r="T13">
        <v>0.53</v>
      </c>
      <c r="U13">
        <f t="shared" si="4"/>
        <v>-0.75739999999999996</v>
      </c>
      <c r="W13" s="3">
        <v>2.5859999999999999</v>
      </c>
      <c r="X13">
        <v>0.23200000000000001</v>
      </c>
      <c r="Y13">
        <f t="shared" si="5"/>
        <v>-1.2414000000000001</v>
      </c>
      <c r="AA13" s="3">
        <v>12.824999999999999</v>
      </c>
      <c r="AB13">
        <v>4.8460000000000001</v>
      </c>
      <c r="AC13">
        <f t="shared" si="6"/>
        <v>-0.21750000000000008</v>
      </c>
      <c r="AF13">
        <v>6.0540000000000003</v>
      </c>
      <c r="AG13">
        <v>-0.13640000000000008</v>
      </c>
      <c r="AH13" t="s">
        <v>57</v>
      </c>
      <c r="AI13" t="s">
        <v>55</v>
      </c>
      <c r="AJ13" t="s">
        <v>53</v>
      </c>
    </row>
    <row r="14" spans="1:52" x14ac:dyDescent="0.25">
      <c r="A14">
        <v>9.8859999999999992</v>
      </c>
      <c r="B14">
        <v>1.3859999999999999</v>
      </c>
      <c r="C14">
        <f t="shared" si="0"/>
        <v>-0.51140000000000008</v>
      </c>
      <c r="E14" s="3">
        <v>10.085000000000001</v>
      </c>
      <c r="F14">
        <v>2.6160000000000001</v>
      </c>
      <c r="G14">
        <f t="shared" si="1"/>
        <v>-0.49149999999999994</v>
      </c>
      <c r="I14" s="3">
        <v>12.64</v>
      </c>
      <c r="J14">
        <v>3.6360000000000001</v>
      </c>
      <c r="K14">
        <f t="shared" si="2"/>
        <v>-0.23599999999999993</v>
      </c>
      <c r="M14" s="3">
        <v>10.847</v>
      </c>
      <c r="N14">
        <v>3.4849999999999999</v>
      </c>
      <c r="O14">
        <f t="shared" si="3"/>
        <v>-0.41530000000000006</v>
      </c>
      <c r="S14" s="3">
        <v>10.916</v>
      </c>
      <c r="T14">
        <v>2.7509999999999999</v>
      </c>
      <c r="U14">
        <f t="shared" si="4"/>
        <v>-0.40839999999999999</v>
      </c>
      <c r="W14" s="3">
        <v>2.069</v>
      </c>
      <c r="X14">
        <v>3.3000000000000002E-2</v>
      </c>
      <c r="Y14">
        <f t="shared" si="5"/>
        <v>-1.2931000000000001</v>
      </c>
      <c r="AA14" s="3">
        <v>13.5</v>
      </c>
      <c r="AB14">
        <v>7.22</v>
      </c>
      <c r="AC14">
        <f t="shared" si="6"/>
        <v>-0.15</v>
      </c>
      <c r="AF14">
        <v>7.1689999999999996</v>
      </c>
      <c r="AG14">
        <v>-0.10229999999999997</v>
      </c>
      <c r="AH14" t="s">
        <v>57</v>
      </c>
      <c r="AI14" t="s">
        <v>55</v>
      </c>
      <c r="AJ14" t="s">
        <v>53</v>
      </c>
    </row>
    <row r="15" spans="1:52" x14ac:dyDescent="0.25">
      <c r="A15">
        <v>11.590999999999999</v>
      </c>
      <c r="B15">
        <v>2.1080000000000001</v>
      </c>
      <c r="C15">
        <f t="shared" si="0"/>
        <v>-0.34090000000000009</v>
      </c>
      <c r="E15" s="3">
        <v>12.797000000000001</v>
      </c>
      <c r="F15">
        <v>5.9320000000000004</v>
      </c>
      <c r="G15">
        <f t="shared" si="1"/>
        <v>-0.22029999999999994</v>
      </c>
      <c r="I15" s="3">
        <v>12.893000000000001</v>
      </c>
      <c r="J15">
        <v>8.6669999999999998</v>
      </c>
      <c r="K15">
        <f t="shared" si="2"/>
        <v>-0.21069999999999994</v>
      </c>
      <c r="M15" s="3">
        <v>12.542</v>
      </c>
      <c r="N15">
        <v>7.5759999999999996</v>
      </c>
      <c r="O15">
        <f t="shared" si="3"/>
        <v>-0.24580000000000002</v>
      </c>
      <c r="S15" s="3">
        <v>13.069000000000001</v>
      </c>
      <c r="T15">
        <v>3.2490000000000001</v>
      </c>
      <c r="U15">
        <f t="shared" si="4"/>
        <v>-0.19309999999999991</v>
      </c>
      <c r="W15" s="3">
        <v>1.663</v>
      </c>
      <c r="X15">
        <v>0</v>
      </c>
      <c r="Y15">
        <f t="shared" si="5"/>
        <v>-1.3336999999999999</v>
      </c>
      <c r="AA15" s="3">
        <v>13.8</v>
      </c>
      <c r="AB15">
        <v>6.7249999999999996</v>
      </c>
      <c r="AC15">
        <f t="shared" si="6"/>
        <v>-0.11999999999999993</v>
      </c>
      <c r="AF15">
        <v>7.62</v>
      </c>
      <c r="AG15">
        <v>-8.1000000000000044E-2</v>
      </c>
      <c r="AH15" t="s">
        <v>57</v>
      </c>
      <c r="AI15" t="s">
        <v>55</v>
      </c>
      <c r="AJ15" t="s">
        <v>53</v>
      </c>
    </row>
    <row r="16" spans="1:52" x14ac:dyDescent="0.25">
      <c r="A16">
        <v>11.760999999999999</v>
      </c>
      <c r="B16">
        <v>2.5299999999999998</v>
      </c>
      <c r="C16">
        <f t="shared" si="0"/>
        <v>-0.32390000000000008</v>
      </c>
      <c r="E16" s="3">
        <v>13.051</v>
      </c>
      <c r="F16">
        <v>7.0570000000000004</v>
      </c>
      <c r="G16">
        <f t="shared" si="1"/>
        <v>-0.19489999999999999</v>
      </c>
      <c r="I16" s="3">
        <v>13.061999999999999</v>
      </c>
      <c r="J16">
        <v>6.3940000000000001</v>
      </c>
      <c r="K16">
        <f t="shared" si="2"/>
        <v>-0.19380000000000006</v>
      </c>
      <c r="M16" s="3">
        <v>12.797000000000001</v>
      </c>
      <c r="N16">
        <v>7.8479999999999999</v>
      </c>
      <c r="O16">
        <f t="shared" si="3"/>
        <v>-0.22029999999999994</v>
      </c>
      <c r="S16" s="3">
        <v>13.738</v>
      </c>
      <c r="T16">
        <v>3.746</v>
      </c>
      <c r="U16">
        <f t="shared" si="4"/>
        <v>-0.12620000000000003</v>
      </c>
      <c r="AA16" s="3">
        <v>14.175000000000001</v>
      </c>
      <c r="AB16">
        <v>7.5819999999999999</v>
      </c>
      <c r="AC16">
        <f t="shared" si="6"/>
        <v>-8.2499999999999934E-2</v>
      </c>
      <c r="AF16">
        <v>0.06</v>
      </c>
      <c r="AG16">
        <v>-0.56780000000000008</v>
      </c>
      <c r="AH16" t="s">
        <v>57</v>
      </c>
      <c r="AI16" t="s">
        <v>55</v>
      </c>
      <c r="AJ16" t="s">
        <v>56</v>
      </c>
    </row>
    <row r="17" spans="1:36" x14ac:dyDescent="0.25">
      <c r="A17">
        <v>13.635999999999999</v>
      </c>
      <c r="B17">
        <v>6.0540000000000003</v>
      </c>
      <c r="C17">
        <f t="shared" si="0"/>
        <v>-0.13640000000000008</v>
      </c>
      <c r="E17" s="3">
        <v>13.22</v>
      </c>
      <c r="F17">
        <v>6.601</v>
      </c>
      <c r="G17">
        <f t="shared" si="1"/>
        <v>-0.17799999999999994</v>
      </c>
      <c r="I17" s="3">
        <v>13.651999999999999</v>
      </c>
      <c r="J17">
        <v>8.2729999999999997</v>
      </c>
      <c r="K17">
        <f t="shared" si="2"/>
        <v>-0.13480000000000009</v>
      </c>
      <c r="M17" s="3">
        <v>13.135999999999999</v>
      </c>
      <c r="N17">
        <v>6.3330000000000002</v>
      </c>
      <c r="O17">
        <f t="shared" si="3"/>
        <v>-0.18640000000000007</v>
      </c>
      <c r="S17" s="3">
        <v>14.257</v>
      </c>
      <c r="T17">
        <v>5.5359999999999996</v>
      </c>
      <c r="U17">
        <f t="shared" si="4"/>
        <v>-7.4300000000000033E-2</v>
      </c>
      <c r="AA17" s="3">
        <v>14.513</v>
      </c>
      <c r="AB17">
        <v>8.2750000000000004</v>
      </c>
      <c r="AC17">
        <f t="shared" si="6"/>
        <v>-4.8700000000000007E-2</v>
      </c>
      <c r="AF17">
        <v>0.06</v>
      </c>
      <c r="AG17">
        <v>-0.38140000000000002</v>
      </c>
      <c r="AH17" t="s">
        <v>57</v>
      </c>
      <c r="AI17" t="s">
        <v>55</v>
      </c>
      <c r="AJ17" t="s">
        <v>56</v>
      </c>
    </row>
    <row r="18" spans="1:36" x14ac:dyDescent="0.25">
      <c r="A18">
        <v>13.977</v>
      </c>
      <c r="B18">
        <v>7.1689999999999996</v>
      </c>
      <c r="C18">
        <f t="shared" si="0"/>
        <v>-0.10229999999999997</v>
      </c>
      <c r="E18" s="3">
        <v>13.558999999999999</v>
      </c>
      <c r="F18">
        <v>6.3879999999999999</v>
      </c>
      <c r="G18">
        <f t="shared" si="1"/>
        <v>-0.14410000000000006</v>
      </c>
      <c r="I18" s="3">
        <v>13.82</v>
      </c>
      <c r="J18">
        <v>9.1210000000000004</v>
      </c>
      <c r="K18">
        <f t="shared" si="2"/>
        <v>-0.11799999999999997</v>
      </c>
      <c r="M18" s="3">
        <v>13.305</v>
      </c>
      <c r="N18">
        <v>6.6669999999999998</v>
      </c>
      <c r="O18">
        <f t="shared" si="3"/>
        <v>-0.16950000000000004</v>
      </c>
      <c r="S18" s="3">
        <v>14.888999999999999</v>
      </c>
      <c r="T18">
        <v>5.1379999999999999</v>
      </c>
      <c r="U18">
        <f t="shared" si="4"/>
        <v>-1.1100000000000065E-2</v>
      </c>
      <c r="AF18">
        <v>2.617</v>
      </c>
      <c r="AG18">
        <v>-0.24580000000000002</v>
      </c>
      <c r="AH18" t="s">
        <v>57</v>
      </c>
      <c r="AI18" t="s">
        <v>55</v>
      </c>
      <c r="AJ18" t="s">
        <v>56</v>
      </c>
    </row>
    <row r="19" spans="1:36" x14ac:dyDescent="0.25">
      <c r="A19">
        <v>14.19</v>
      </c>
      <c r="B19">
        <v>7.62</v>
      </c>
      <c r="C19">
        <f t="shared" si="0"/>
        <v>-8.1000000000000044E-2</v>
      </c>
      <c r="E19" s="3">
        <v>13.771000000000001</v>
      </c>
      <c r="F19">
        <v>6.9050000000000002</v>
      </c>
      <c r="G19">
        <f t="shared" si="1"/>
        <v>-0.12289999999999993</v>
      </c>
      <c r="I19" s="3">
        <v>14.115</v>
      </c>
      <c r="J19">
        <v>9.9090000000000007</v>
      </c>
      <c r="K19">
        <f t="shared" si="2"/>
        <v>-8.8499999999999981E-2</v>
      </c>
      <c r="M19" s="3">
        <v>13.558999999999999</v>
      </c>
      <c r="N19">
        <v>6.8179999999999996</v>
      </c>
      <c r="O19">
        <f t="shared" si="3"/>
        <v>-0.14410000000000006</v>
      </c>
      <c r="AF19">
        <v>5.5640000000000001</v>
      </c>
      <c r="AG19">
        <v>-0.22029999999999994</v>
      </c>
      <c r="AH19" t="s">
        <v>57</v>
      </c>
      <c r="AI19" t="s">
        <v>55</v>
      </c>
      <c r="AJ19" t="s">
        <v>56</v>
      </c>
    </row>
    <row r="20" spans="1:36" x14ac:dyDescent="0.25">
      <c r="M20" s="3">
        <v>13.856</v>
      </c>
      <c r="N20">
        <v>7.5759999999999996</v>
      </c>
      <c r="O20">
        <f>(M20-15)/10</f>
        <v>-0.11440000000000002</v>
      </c>
      <c r="AF20">
        <v>6.3760000000000003</v>
      </c>
      <c r="AG20">
        <v>-0.16099999999999995</v>
      </c>
      <c r="AH20" t="s">
        <v>57</v>
      </c>
      <c r="AI20" t="s">
        <v>55</v>
      </c>
      <c r="AJ20" t="s">
        <v>56</v>
      </c>
    </row>
    <row r="21" spans="1:36" x14ac:dyDescent="0.25">
      <c r="AF21">
        <v>7.2480000000000002</v>
      </c>
      <c r="AG21">
        <v>-0.14410000000000006</v>
      </c>
      <c r="AH21" t="s">
        <v>57</v>
      </c>
      <c r="AI21" t="s">
        <v>55</v>
      </c>
      <c r="AJ21" t="s">
        <v>56</v>
      </c>
    </row>
    <row r="22" spans="1:36" x14ac:dyDescent="0.25">
      <c r="AF22">
        <v>7.5789999999999997</v>
      </c>
      <c r="AG22">
        <v>-0.12289999999999993</v>
      </c>
      <c r="AH22" t="s">
        <v>57</v>
      </c>
      <c r="AI22" t="s">
        <v>55</v>
      </c>
      <c r="AJ22" t="s">
        <v>56</v>
      </c>
    </row>
    <row r="23" spans="1:36" x14ac:dyDescent="0.25">
      <c r="A23" t="s">
        <v>42</v>
      </c>
      <c r="AF23">
        <v>6.0999999999999999E-2</v>
      </c>
      <c r="AG23">
        <v>-1.1483000000000001</v>
      </c>
      <c r="AH23" t="s">
        <v>58</v>
      </c>
      <c r="AI23" t="s">
        <v>55</v>
      </c>
      <c r="AJ23" t="s">
        <v>53</v>
      </c>
    </row>
    <row r="24" spans="1:36" x14ac:dyDescent="0.25">
      <c r="AF24">
        <v>9.0999999999999998E-2</v>
      </c>
      <c r="AG24">
        <v>-1.0592999999999999</v>
      </c>
      <c r="AH24" t="s">
        <v>58</v>
      </c>
      <c r="AI24" t="s">
        <v>55</v>
      </c>
      <c r="AJ24" t="s">
        <v>53</v>
      </c>
    </row>
    <row r="25" spans="1:36" x14ac:dyDescent="0.25">
      <c r="A25" t="s">
        <v>35</v>
      </c>
      <c r="E25" t="s">
        <v>41</v>
      </c>
      <c r="I25" t="s">
        <v>43</v>
      </c>
      <c r="M25" t="s">
        <v>44</v>
      </c>
      <c r="S25" t="s">
        <v>44</v>
      </c>
      <c r="W25" t="s">
        <v>47</v>
      </c>
      <c r="AA25" t="s">
        <v>43</v>
      </c>
      <c r="AF25">
        <v>0.152</v>
      </c>
      <c r="AG25">
        <v>-0.96609999999999996</v>
      </c>
      <c r="AH25" t="s">
        <v>58</v>
      </c>
      <c r="AI25" t="s">
        <v>55</v>
      </c>
      <c r="AJ25" t="s">
        <v>53</v>
      </c>
    </row>
    <row r="26" spans="1:36" x14ac:dyDescent="0.25">
      <c r="A26" t="s">
        <v>37</v>
      </c>
      <c r="B26" t="s">
        <v>38</v>
      </c>
      <c r="C26" t="s">
        <v>39</v>
      </c>
      <c r="E26" t="s">
        <v>37</v>
      </c>
      <c r="F26" t="s">
        <v>38</v>
      </c>
      <c r="G26" t="s">
        <v>39</v>
      </c>
      <c r="I26" t="s">
        <v>37</v>
      </c>
      <c r="J26" t="s">
        <v>38</v>
      </c>
      <c r="K26" t="s">
        <v>39</v>
      </c>
      <c r="M26" t="s">
        <v>37</v>
      </c>
      <c r="N26" t="s">
        <v>38</v>
      </c>
      <c r="O26" t="s">
        <v>39</v>
      </c>
      <c r="S26" t="s">
        <v>37</v>
      </c>
      <c r="T26" t="s">
        <v>38</v>
      </c>
      <c r="U26" t="s">
        <v>39</v>
      </c>
      <c r="W26" t="s">
        <v>37</v>
      </c>
      <c r="X26" t="s">
        <v>38</v>
      </c>
      <c r="Y26" t="s">
        <v>39</v>
      </c>
      <c r="AA26" t="s">
        <v>37</v>
      </c>
      <c r="AB26" t="s">
        <v>38</v>
      </c>
      <c r="AC26" t="s">
        <v>39</v>
      </c>
      <c r="AF26">
        <v>0.42599999999999999</v>
      </c>
      <c r="AG26">
        <v>-0.92369999999999997</v>
      </c>
      <c r="AH26" t="s">
        <v>58</v>
      </c>
      <c r="AI26" t="s">
        <v>55</v>
      </c>
      <c r="AJ26" t="s">
        <v>53</v>
      </c>
    </row>
    <row r="27" spans="1:36" x14ac:dyDescent="0.25">
      <c r="A27" s="3">
        <v>7.2460000000000004</v>
      </c>
      <c r="B27">
        <v>0.06</v>
      </c>
      <c r="C27">
        <f>(A27-15)/10</f>
        <v>-0.77539999999999998</v>
      </c>
      <c r="E27" s="3">
        <v>6.3140000000000001</v>
      </c>
      <c r="F27">
        <v>0.03</v>
      </c>
      <c r="G27">
        <f>(E27-15)/10</f>
        <v>-0.86860000000000004</v>
      </c>
      <c r="I27" s="3">
        <v>4.1710000000000003</v>
      </c>
      <c r="J27">
        <v>6.0999999999999999E-2</v>
      </c>
      <c r="K27">
        <f>(I27-15)/10</f>
        <v>-1.0829</v>
      </c>
      <c r="M27" s="3">
        <v>2.5</v>
      </c>
      <c r="N27">
        <v>6.0999999999999999E-2</v>
      </c>
      <c r="O27">
        <f>(M27-15)/10</f>
        <v>-1.25</v>
      </c>
      <c r="S27" s="3">
        <v>8.3539999999999992</v>
      </c>
      <c r="T27">
        <v>3.3000000000000002E-2</v>
      </c>
      <c r="U27">
        <f>(S27-15)/10</f>
        <v>-0.66460000000000008</v>
      </c>
      <c r="W27" s="3">
        <v>6.3920000000000003</v>
      </c>
      <c r="X27">
        <v>3.8780000000000001</v>
      </c>
      <c r="Y27">
        <f>(W27-15)/10</f>
        <v>-0.86080000000000001</v>
      </c>
      <c r="AA27" s="3">
        <v>7.9870000000000001</v>
      </c>
      <c r="AB27">
        <v>0.13200000000000001</v>
      </c>
      <c r="AC27">
        <f>(AA27-15)/10</f>
        <v>-0.70130000000000003</v>
      </c>
      <c r="AF27">
        <v>0.42599999999999999</v>
      </c>
      <c r="AG27">
        <v>-0.86440000000000006</v>
      </c>
      <c r="AH27" t="s">
        <v>58</v>
      </c>
      <c r="AI27" t="s">
        <v>55</v>
      </c>
      <c r="AJ27" t="s">
        <v>53</v>
      </c>
    </row>
    <row r="28" spans="1:36" x14ac:dyDescent="0.25">
      <c r="A28" s="3">
        <v>9.3219999999999992</v>
      </c>
      <c r="B28">
        <v>0.06</v>
      </c>
      <c r="C28">
        <f t="shared" ref="C28:C34" si="7">(A28-15)/10</f>
        <v>-0.56780000000000008</v>
      </c>
      <c r="E28" s="3">
        <v>7.0339999999999998</v>
      </c>
      <c r="F28">
        <v>0.03</v>
      </c>
      <c r="G28">
        <f t="shared" ref="G28:G38" si="8">(E28-15)/10</f>
        <v>-0.79659999999999997</v>
      </c>
      <c r="I28" s="3">
        <v>5.3929999999999998</v>
      </c>
      <c r="J28">
        <v>9.0999999999999998E-2</v>
      </c>
      <c r="K28">
        <f t="shared" ref="K28:K38" si="9">(I28-15)/10</f>
        <v>-0.96069999999999989</v>
      </c>
      <c r="M28" s="3">
        <v>7.7969999999999997</v>
      </c>
      <c r="N28">
        <v>0.36399999999999999</v>
      </c>
      <c r="O28">
        <f t="shared" ref="O28:O38" si="10">(M28-15)/10</f>
        <v>-0.72030000000000005</v>
      </c>
      <c r="S28" s="3">
        <v>9.5790000000000006</v>
      </c>
      <c r="T28">
        <v>1.1930000000000001</v>
      </c>
      <c r="U28">
        <f t="shared" ref="U28:U36" si="11">(S28-15)/10</f>
        <v>-0.54209999999999992</v>
      </c>
      <c r="W28" s="3">
        <v>5.8369999999999997</v>
      </c>
      <c r="X28">
        <v>3.7789999999999999</v>
      </c>
      <c r="Y28">
        <f t="shared" ref="Y28:Y33" si="12">(W28-15)/10</f>
        <v>-0.9163</v>
      </c>
      <c r="AA28" s="3">
        <v>9.4499999999999993</v>
      </c>
      <c r="AB28">
        <v>0.79100000000000004</v>
      </c>
      <c r="AC28">
        <f t="shared" ref="AC28:AC33" si="13">(AA28-15)/10</f>
        <v>-0.55500000000000005</v>
      </c>
      <c r="AF28">
        <v>0.91300000000000003</v>
      </c>
      <c r="AG28">
        <v>-0.83050000000000002</v>
      </c>
      <c r="AH28" t="s">
        <v>58</v>
      </c>
      <c r="AI28" t="s">
        <v>55</v>
      </c>
      <c r="AJ28" t="s">
        <v>53</v>
      </c>
    </row>
    <row r="29" spans="1:36" x14ac:dyDescent="0.25">
      <c r="A29" s="3">
        <v>11.186</v>
      </c>
      <c r="B29">
        <v>0.06</v>
      </c>
      <c r="C29">
        <f t="shared" si="7"/>
        <v>-0.38140000000000002</v>
      </c>
      <c r="E29" s="3">
        <v>7.5419999999999998</v>
      </c>
      <c r="F29">
        <v>0.122</v>
      </c>
      <c r="G29">
        <f t="shared" si="8"/>
        <v>-0.74580000000000002</v>
      </c>
      <c r="I29" s="3">
        <v>10.281000000000001</v>
      </c>
      <c r="J29">
        <v>0.97</v>
      </c>
      <c r="K29">
        <f t="shared" si="9"/>
        <v>-0.47189999999999993</v>
      </c>
      <c r="M29" s="3">
        <v>8.8979999999999997</v>
      </c>
      <c r="N29">
        <v>0.72699999999999998</v>
      </c>
      <c r="O29">
        <f t="shared" si="10"/>
        <v>-0.61020000000000008</v>
      </c>
      <c r="S29" s="3">
        <v>11.361000000000001</v>
      </c>
      <c r="T29">
        <v>1.823</v>
      </c>
      <c r="U29">
        <f t="shared" si="11"/>
        <v>-0.36389999999999995</v>
      </c>
      <c r="W29" s="3">
        <v>3.177</v>
      </c>
      <c r="X29">
        <v>3.68</v>
      </c>
      <c r="Y29">
        <f t="shared" si="12"/>
        <v>-1.1823000000000001</v>
      </c>
      <c r="AA29" s="3">
        <v>11.1</v>
      </c>
      <c r="AB29">
        <v>0.72499999999999998</v>
      </c>
      <c r="AC29">
        <f t="shared" si="13"/>
        <v>-0.39</v>
      </c>
      <c r="AF29">
        <v>2.3119999999999998</v>
      </c>
      <c r="AG29">
        <v>-0.5847</v>
      </c>
      <c r="AH29" t="s">
        <v>58</v>
      </c>
      <c r="AI29" t="s">
        <v>55</v>
      </c>
      <c r="AJ29" t="s">
        <v>53</v>
      </c>
    </row>
    <row r="30" spans="1:36" x14ac:dyDescent="0.25">
      <c r="A30" s="3">
        <v>12.542</v>
      </c>
      <c r="B30">
        <v>2.617</v>
      </c>
      <c r="C30">
        <f t="shared" si="7"/>
        <v>-0.24580000000000002</v>
      </c>
      <c r="E30" s="3">
        <v>7.7969999999999997</v>
      </c>
      <c r="F30">
        <v>0.30399999999999999</v>
      </c>
      <c r="G30">
        <f t="shared" si="8"/>
        <v>-0.72030000000000005</v>
      </c>
      <c r="I30" s="3">
        <v>10.618</v>
      </c>
      <c r="J30">
        <v>1.3640000000000001</v>
      </c>
      <c r="K30">
        <f t="shared" si="9"/>
        <v>-0.43819999999999998</v>
      </c>
      <c r="M30" s="3">
        <v>9.7460000000000004</v>
      </c>
      <c r="N30">
        <v>0.97</v>
      </c>
      <c r="O30">
        <f t="shared" si="10"/>
        <v>-0.52539999999999998</v>
      </c>
      <c r="S30" s="3">
        <v>11.955</v>
      </c>
      <c r="T30">
        <v>1.823</v>
      </c>
      <c r="U30">
        <f t="shared" si="11"/>
        <v>-0.30449999999999999</v>
      </c>
      <c r="W30" s="3">
        <v>2.069</v>
      </c>
      <c r="X30">
        <v>2.2210000000000001</v>
      </c>
      <c r="Y30">
        <f t="shared" si="12"/>
        <v>-1.2931000000000001</v>
      </c>
      <c r="AA30" s="3">
        <v>11.4</v>
      </c>
      <c r="AB30">
        <v>1.5489999999999999</v>
      </c>
      <c r="AC30">
        <f t="shared" si="13"/>
        <v>-0.36</v>
      </c>
      <c r="AF30">
        <v>2.6160000000000001</v>
      </c>
      <c r="AG30">
        <v>-0.49149999999999994</v>
      </c>
      <c r="AH30" t="s">
        <v>58</v>
      </c>
      <c r="AI30" t="s">
        <v>55</v>
      </c>
      <c r="AJ30" t="s">
        <v>53</v>
      </c>
    </row>
    <row r="31" spans="1:36" x14ac:dyDescent="0.25">
      <c r="A31" s="3">
        <v>12.797000000000001</v>
      </c>
      <c r="B31">
        <v>5.5640000000000001</v>
      </c>
      <c r="C31">
        <f t="shared" si="7"/>
        <v>-0.22029999999999994</v>
      </c>
      <c r="E31" s="3">
        <v>9.4920000000000009</v>
      </c>
      <c r="F31">
        <v>0.94299999999999995</v>
      </c>
      <c r="G31">
        <f t="shared" si="8"/>
        <v>-0.55079999999999996</v>
      </c>
      <c r="I31" s="3">
        <v>11.375999999999999</v>
      </c>
      <c r="J31">
        <v>2.8180000000000001</v>
      </c>
      <c r="K31">
        <f t="shared" si="9"/>
        <v>-0.36240000000000006</v>
      </c>
      <c r="M31" s="3">
        <v>10.932</v>
      </c>
      <c r="N31">
        <v>1.6060000000000001</v>
      </c>
      <c r="O31">
        <f t="shared" si="10"/>
        <v>-0.40679999999999994</v>
      </c>
      <c r="S31" s="3">
        <v>12.475</v>
      </c>
      <c r="T31">
        <v>2.4860000000000002</v>
      </c>
      <c r="U31">
        <f t="shared" si="11"/>
        <v>-0.25250000000000006</v>
      </c>
      <c r="W31" s="3">
        <v>1.478</v>
      </c>
      <c r="X31">
        <v>1.4590000000000001</v>
      </c>
      <c r="Y31">
        <f t="shared" si="12"/>
        <v>-1.3522000000000001</v>
      </c>
      <c r="AA31" s="3">
        <v>12.45</v>
      </c>
      <c r="AB31">
        <v>2.835</v>
      </c>
      <c r="AC31">
        <f t="shared" si="13"/>
        <v>-0.25500000000000006</v>
      </c>
      <c r="AF31">
        <v>5.9320000000000004</v>
      </c>
      <c r="AG31">
        <v>-0.22029999999999994</v>
      </c>
      <c r="AH31" t="s">
        <v>58</v>
      </c>
      <c r="AI31" t="s">
        <v>55</v>
      </c>
      <c r="AJ31" t="s">
        <v>53</v>
      </c>
    </row>
    <row r="32" spans="1:36" x14ac:dyDescent="0.25">
      <c r="A32" s="3">
        <v>13.39</v>
      </c>
      <c r="B32">
        <v>6.3760000000000003</v>
      </c>
      <c r="C32">
        <f t="shared" si="7"/>
        <v>-0.16099999999999995</v>
      </c>
      <c r="E32" s="3">
        <v>10.423999999999999</v>
      </c>
      <c r="F32">
        <v>1.2470000000000001</v>
      </c>
      <c r="G32">
        <f t="shared" si="8"/>
        <v>-0.45760000000000006</v>
      </c>
      <c r="I32" s="3">
        <v>11.712999999999999</v>
      </c>
      <c r="J32">
        <v>1.97</v>
      </c>
      <c r="K32">
        <f t="shared" si="9"/>
        <v>-0.3287000000000001</v>
      </c>
      <c r="M32" s="3">
        <v>11.525</v>
      </c>
      <c r="N32">
        <v>1.879</v>
      </c>
      <c r="O32">
        <f t="shared" si="10"/>
        <v>-0.34749999999999998</v>
      </c>
      <c r="S32" s="3">
        <v>13.292</v>
      </c>
      <c r="T32">
        <v>3.4809999999999999</v>
      </c>
      <c r="U32">
        <f t="shared" si="11"/>
        <v>-0.17080000000000001</v>
      </c>
      <c r="W32" s="3">
        <v>0.96099999999999997</v>
      </c>
      <c r="X32">
        <v>0.63</v>
      </c>
      <c r="Y32">
        <f t="shared" si="12"/>
        <v>-1.4038999999999999</v>
      </c>
      <c r="AA32" s="3">
        <v>13.65</v>
      </c>
      <c r="AB32">
        <v>7.2530000000000001</v>
      </c>
      <c r="AC32">
        <f t="shared" si="13"/>
        <v>-0.13499999999999995</v>
      </c>
      <c r="AF32">
        <v>7.0570000000000004</v>
      </c>
      <c r="AG32">
        <v>-0.19489999999999999</v>
      </c>
      <c r="AH32" t="s">
        <v>58</v>
      </c>
      <c r="AI32" t="s">
        <v>55</v>
      </c>
      <c r="AJ32" t="s">
        <v>53</v>
      </c>
    </row>
    <row r="33" spans="1:36" x14ac:dyDescent="0.25">
      <c r="A33" s="3">
        <v>13.558999999999999</v>
      </c>
      <c r="B33">
        <v>7.2480000000000002</v>
      </c>
      <c r="C33">
        <f>(A33-15)/10</f>
        <v>-0.14410000000000006</v>
      </c>
      <c r="E33" s="3">
        <v>12.712</v>
      </c>
      <c r="F33">
        <v>3.1030000000000002</v>
      </c>
      <c r="G33">
        <f t="shared" si="8"/>
        <v>-0.22880000000000003</v>
      </c>
      <c r="I33" s="3">
        <v>12.135</v>
      </c>
      <c r="J33">
        <v>4.6669999999999998</v>
      </c>
      <c r="K33">
        <f t="shared" si="9"/>
        <v>-0.28650000000000003</v>
      </c>
      <c r="M33" s="3">
        <v>12.372999999999999</v>
      </c>
      <c r="N33">
        <v>2</v>
      </c>
      <c r="O33">
        <f t="shared" si="10"/>
        <v>-0.26270000000000004</v>
      </c>
      <c r="S33" s="3">
        <v>13.589</v>
      </c>
      <c r="T33">
        <v>4.84</v>
      </c>
      <c r="U33">
        <f t="shared" si="11"/>
        <v>-0.14109999999999995</v>
      </c>
      <c r="W33" s="3">
        <v>0.33300000000000002</v>
      </c>
      <c r="X33">
        <v>6.6000000000000003E-2</v>
      </c>
      <c r="Y33">
        <f t="shared" si="12"/>
        <v>-1.4666999999999999</v>
      </c>
      <c r="AA33" s="3">
        <v>13.912000000000001</v>
      </c>
      <c r="AB33">
        <v>5.7030000000000003</v>
      </c>
      <c r="AC33">
        <f t="shared" si="13"/>
        <v>-0.10879999999999992</v>
      </c>
      <c r="AF33">
        <v>6.601</v>
      </c>
      <c r="AG33">
        <v>-0.17799999999999994</v>
      </c>
      <c r="AH33" t="s">
        <v>58</v>
      </c>
      <c r="AI33" t="s">
        <v>55</v>
      </c>
      <c r="AJ33" t="s">
        <v>53</v>
      </c>
    </row>
    <row r="34" spans="1:36" x14ac:dyDescent="0.25">
      <c r="A34" s="3">
        <v>13.771000000000001</v>
      </c>
      <c r="B34">
        <v>7.5789999999999997</v>
      </c>
      <c r="C34">
        <f t="shared" si="7"/>
        <v>-0.12289999999999993</v>
      </c>
      <c r="E34" s="3">
        <v>12.965999999999999</v>
      </c>
      <c r="F34">
        <v>4.1369999999999996</v>
      </c>
      <c r="G34">
        <f t="shared" si="8"/>
        <v>-0.20340000000000008</v>
      </c>
      <c r="I34" s="3">
        <v>12.388</v>
      </c>
      <c r="J34">
        <v>2.2730000000000001</v>
      </c>
      <c r="K34">
        <f t="shared" si="9"/>
        <v>-0.26119999999999999</v>
      </c>
      <c r="M34" s="3">
        <v>12.627000000000001</v>
      </c>
      <c r="N34">
        <v>6.0910000000000002</v>
      </c>
      <c r="O34">
        <f t="shared" si="10"/>
        <v>-0.23729999999999993</v>
      </c>
      <c r="S34" s="3">
        <v>13.738</v>
      </c>
      <c r="T34">
        <v>5.1710000000000003</v>
      </c>
      <c r="U34">
        <f t="shared" si="11"/>
        <v>-0.12620000000000003</v>
      </c>
      <c r="AF34">
        <v>6.3879999999999999</v>
      </c>
      <c r="AG34">
        <v>-0.14410000000000006</v>
      </c>
      <c r="AH34" t="s">
        <v>58</v>
      </c>
      <c r="AI34" t="s">
        <v>55</v>
      </c>
      <c r="AJ34" t="s">
        <v>53</v>
      </c>
    </row>
    <row r="35" spans="1:36" x14ac:dyDescent="0.25">
      <c r="E35" s="3">
        <v>13.475</v>
      </c>
      <c r="F35">
        <v>5.4749999999999996</v>
      </c>
      <c r="G35">
        <f t="shared" si="8"/>
        <v>-0.15250000000000002</v>
      </c>
      <c r="I35" s="3">
        <v>12.472</v>
      </c>
      <c r="J35">
        <v>2.8479999999999999</v>
      </c>
      <c r="K35">
        <f t="shared" si="9"/>
        <v>-0.25280000000000002</v>
      </c>
      <c r="M35" s="3">
        <v>13.135999999999999</v>
      </c>
      <c r="N35">
        <v>4.8179999999999996</v>
      </c>
      <c r="O35">
        <f t="shared" si="10"/>
        <v>-0.18640000000000007</v>
      </c>
      <c r="S35" s="3">
        <v>14.109</v>
      </c>
      <c r="T35">
        <v>5.2380000000000004</v>
      </c>
      <c r="U35">
        <f t="shared" si="11"/>
        <v>-8.9099999999999999E-2</v>
      </c>
      <c r="AF35">
        <v>6.9050000000000002</v>
      </c>
      <c r="AG35">
        <v>-0.12289999999999993</v>
      </c>
      <c r="AH35" t="s">
        <v>58</v>
      </c>
      <c r="AI35" t="s">
        <v>55</v>
      </c>
      <c r="AJ35" t="s">
        <v>53</v>
      </c>
    </row>
    <row r="36" spans="1:36" x14ac:dyDescent="0.25">
      <c r="E36" s="3">
        <v>13.814</v>
      </c>
      <c r="F36">
        <v>4.8970000000000002</v>
      </c>
      <c r="G36">
        <f t="shared" si="8"/>
        <v>-0.1186</v>
      </c>
      <c r="I36" s="3">
        <v>12.64</v>
      </c>
      <c r="J36">
        <v>5.2729999999999997</v>
      </c>
      <c r="K36">
        <f t="shared" si="9"/>
        <v>-0.23599999999999993</v>
      </c>
      <c r="M36" s="3">
        <v>13.728999999999999</v>
      </c>
      <c r="N36">
        <v>5.0609999999999999</v>
      </c>
      <c r="O36">
        <f t="shared" si="10"/>
        <v>-0.12710000000000007</v>
      </c>
      <c r="S36" s="3">
        <v>14.516999999999999</v>
      </c>
      <c r="T36">
        <v>5.8010000000000002</v>
      </c>
      <c r="U36">
        <f t="shared" si="11"/>
        <v>-4.8300000000000051E-2</v>
      </c>
      <c r="AF36">
        <v>0.03</v>
      </c>
      <c r="AG36">
        <v>-0.86860000000000004</v>
      </c>
      <c r="AH36" t="s">
        <v>58</v>
      </c>
      <c r="AI36" t="s">
        <v>55</v>
      </c>
      <c r="AJ36" t="s">
        <v>56</v>
      </c>
    </row>
    <row r="37" spans="1:36" x14ac:dyDescent="0.25">
      <c r="E37" s="3">
        <v>14.068</v>
      </c>
      <c r="F37">
        <v>5.4749999999999996</v>
      </c>
      <c r="G37">
        <f t="shared" si="8"/>
        <v>-9.3200000000000033E-2</v>
      </c>
      <c r="I37" s="3">
        <v>13.061999999999999</v>
      </c>
      <c r="J37">
        <v>9.3030000000000008</v>
      </c>
      <c r="K37">
        <f t="shared" si="9"/>
        <v>-0.19380000000000006</v>
      </c>
      <c r="M37" s="3">
        <v>14.068</v>
      </c>
      <c r="N37">
        <v>4.3330000000000002</v>
      </c>
      <c r="O37">
        <f t="shared" si="10"/>
        <v>-9.3200000000000033E-2</v>
      </c>
      <c r="AF37">
        <v>0.03</v>
      </c>
      <c r="AG37">
        <v>-0.79659999999999997</v>
      </c>
      <c r="AH37" t="s">
        <v>58</v>
      </c>
      <c r="AI37" t="s">
        <v>55</v>
      </c>
      <c r="AJ37" t="s">
        <v>56</v>
      </c>
    </row>
    <row r="38" spans="1:36" x14ac:dyDescent="0.25">
      <c r="E38" s="3">
        <v>14.449</v>
      </c>
      <c r="F38">
        <v>5.202</v>
      </c>
      <c r="G38">
        <f t="shared" si="8"/>
        <v>-5.5100000000000017E-2</v>
      </c>
      <c r="I38" s="3">
        <v>13.946999999999999</v>
      </c>
      <c r="J38">
        <v>8.1210000000000004</v>
      </c>
      <c r="K38">
        <f t="shared" si="9"/>
        <v>-0.10530000000000009</v>
      </c>
      <c r="M38" s="3">
        <v>14.28</v>
      </c>
      <c r="N38">
        <v>4.8179999999999996</v>
      </c>
      <c r="O38">
        <f t="shared" si="10"/>
        <v>-7.2000000000000064E-2</v>
      </c>
      <c r="AF38">
        <v>0.122</v>
      </c>
      <c r="AG38">
        <v>-0.74580000000000002</v>
      </c>
      <c r="AH38" t="s">
        <v>58</v>
      </c>
      <c r="AI38" t="s">
        <v>55</v>
      </c>
      <c r="AJ38" t="s">
        <v>56</v>
      </c>
    </row>
    <row r="39" spans="1:36" x14ac:dyDescent="0.25">
      <c r="AF39">
        <v>0.30399999999999999</v>
      </c>
      <c r="AG39">
        <v>-0.72030000000000005</v>
      </c>
      <c r="AH39" t="s">
        <v>58</v>
      </c>
      <c r="AI39" t="s">
        <v>55</v>
      </c>
      <c r="AJ39" t="s">
        <v>56</v>
      </c>
    </row>
    <row r="40" spans="1:36" x14ac:dyDescent="0.25">
      <c r="AF40">
        <v>0.94299999999999995</v>
      </c>
      <c r="AG40">
        <v>-0.55079999999999996</v>
      </c>
      <c r="AH40" t="s">
        <v>58</v>
      </c>
      <c r="AI40" t="s">
        <v>55</v>
      </c>
      <c r="AJ40" t="s">
        <v>56</v>
      </c>
    </row>
    <row r="41" spans="1:36" x14ac:dyDescent="0.25">
      <c r="AF41">
        <v>1.2470000000000001</v>
      </c>
      <c r="AG41">
        <v>-0.45760000000000006</v>
      </c>
      <c r="AH41" t="s">
        <v>58</v>
      </c>
      <c r="AI41" t="s">
        <v>55</v>
      </c>
      <c r="AJ41" t="s">
        <v>56</v>
      </c>
    </row>
    <row r="42" spans="1:36" x14ac:dyDescent="0.25">
      <c r="AF42">
        <v>3.1030000000000002</v>
      </c>
      <c r="AG42">
        <v>-0.22880000000000003</v>
      </c>
      <c r="AH42" t="s">
        <v>58</v>
      </c>
      <c r="AI42" t="s">
        <v>55</v>
      </c>
      <c r="AJ42" t="s">
        <v>56</v>
      </c>
    </row>
    <row r="43" spans="1:36" x14ac:dyDescent="0.25">
      <c r="AF43">
        <v>4.1369999999999996</v>
      </c>
      <c r="AG43">
        <v>-0.20340000000000008</v>
      </c>
      <c r="AH43" t="s">
        <v>58</v>
      </c>
      <c r="AI43" t="s">
        <v>55</v>
      </c>
      <c r="AJ43" t="s">
        <v>56</v>
      </c>
    </row>
    <row r="44" spans="1:36" x14ac:dyDescent="0.25">
      <c r="AF44">
        <v>5.4749999999999996</v>
      </c>
      <c r="AG44">
        <v>-0.15250000000000002</v>
      </c>
      <c r="AH44" t="s">
        <v>58</v>
      </c>
      <c r="AI44" t="s">
        <v>55</v>
      </c>
      <c r="AJ44" t="s">
        <v>56</v>
      </c>
    </row>
    <row r="45" spans="1:36" x14ac:dyDescent="0.25">
      <c r="AF45">
        <v>4.8970000000000002</v>
      </c>
      <c r="AG45">
        <v>-0.1186</v>
      </c>
      <c r="AH45" t="s">
        <v>58</v>
      </c>
      <c r="AI45" t="s">
        <v>55</v>
      </c>
      <c r="AJ45" t="s">
        <v>56</v>
      </c>
    </row>
    <row r="46" spans="1:36" x14ac:dyDescent="0.25">
      <c r="AF46">
        <v>5.4749999999999996</v>
      </c>
      <c r="AG46">
        <v>-9.3200000000000033E-2</v>
      </c>
      <c r="AH46" t="s">
        <v>58</v>
      </c>
      <c r="AI46" t="s">
        <v>55</v>
      </c>
      <c r="AJ46" t="s">
        <v>56</v>
      </c>
    </row>
    <row r="47" spans="1:36" x14ac:dyDescent="0.25">
      <c r="AF47">
        <v>5.202</v>
      </c>
      <c r="AG47">
        <v>-5.5100000000000017E-2</v>
      </c>
      <c r="AH47" t="s">
        <v>58</v>
      </c>
      <c r="AI47" t="s">
        <v>55</v>
      </c>
      <c r="AJ47" t="s">
        <v>56</v>
      </c>
    </row>
    <row r="48" spans="1:36" x14ac:dyDescent="0.25">
      <c r="AF48">
        <v>0.152</v>
      </c>
      <c r="AG48">
        <v>-1.3694</v>
      </c>
      <c r="AH48" t="s">
        <v>59</v>
      </c>
      <c r="AI48" t="s">
        <v>55</v>
      </c>
      <c r="AJ48" t="s">
        <v>53</v>
      </c>
    </row>
    <row r="49" spans="32:36" x14ac:dyDescent="0.25">
      <c r="AF49">
        <v>0.63600000000000001</v>
      </c>
      <c r="AG49">
        <v>-1.0871</v>
      </c>
      <c r="AH49" t="s">
        <v>59</v>
      </c>
      <c r="AI49" t="s">
        <v>55</v>
      </c>
      <c r="AJ49" t="s">
        <v>53</v>
      </c>
    </row>
    <row r="50" spans="32:36" x14ac:dyDescent="0.25">
      <c r="AF50">
        <v>0.90900000000000003</v>
      </c>
      <c r="AG50">
        <v>-0.88479999999999992</v>
      </c>
      <c r="AH50" t="s">
        <v>59</v>
      </c>
      <c r="AI50" t="s">
        <v>55</v>
      </c>
      <c r="AJ50" t="s">
        <v>53</v>
      </c>
    </row>
    <row r="51" spans="32:36" x14ac:dyDescent="0.25">
      <c r="AF51">
        <v>2.1520000000000001</v>
      </c>
      <c r="AG51">
        <v>-0.53930000000000011</v>
      </c>
      <c r="AH51" t="s">
        <v>59</v>
      </c>
      <c r="AI51" t="s">
        <v>55</v>
      </c>
      <c r="AJ51" t="s">
        <v>53</v>
      </c>
    </row>
    <row r="52" spans="32:36" x14ac:dyDescent="0.25">
      <c r="AF52">
        <v>2.6059999999999999</v>
      </c>
      <c r="AG52">
        <v>-0.43819999999999998</v>
      </c>
      <c r="AH52" t="s">
        <v>59</v>
      </c>
      <c r="AI52" t="s">
        <v>55</v>
      </c>
      <c r="AJ52" t="s">
        <v>53</v>
      </c>
    </row>
    <row r="53" spans="32:36" x14ac:dyDescent="0.25">
      <c r="AF53">
        <v>3.3330000000000002</v>
      </c>
      <c r="AG53">
        <v>-0.37919999999999998</v>
      </c>
      <c r="AH53" t="s">
        <v>59</v>
      </c>
      <c r="AI53" t="s">
        <v>55</v>
      </c>
      <c r="AJ53" t="s">
        <v>53</v>
      </c>
    </row>
    <row r="54" spans="32:36" x14ac:dyDescent="0.25">
      <c r="AF54">
        <v>3.3940000000000001</v>
      </c>
      <c r="AG54">
        <v>-0.31180000000000002</v>
      </c>
      <c r="AH54" t="s">
        <v>59</v>
      </c>
      <c r="AI54" t="s">
        <v>55</v>
      </c>
      <c r="AJ54" t="s">
        <v>53</v>
      </c>
    </row>
    <row r="55" spans="32:36" x14ac:dyDescent="0.25">
      <c r="AF55">
        <v>3.6360000000000001</v>
      </c>
      <c r="AG55">
        <v>-0.23599999999999993</v>
      </c>
      <c r="AH55" t="s">
        <v>59</v>
      </c>
      <c r="AI55" t="s">
        <v>55</v>
      </c>
      <c r="AJ55" t="s">
        <v>53</v>
      </c>
    </row>
    <row r="56" spans="32:36" x14ac:dyDescent="0.25">
      <c r="AF56">
        <v>8.6669999999999998</v>
      </c>
      <c r="AG56">
        <v>-0.21069999999999994</v>
      </c>
      <c r="AH56" t="s">
        <v>59</v>
      </c>
      <c r="AI56" t="s">
        <v>55</v>
      </c>
      <c r="AJ56" t="s">
        <v>53</v>
      </c>
    </row>
    <row r="57" spans="32:36" x14ac:dyDescent="0.25">
      <c r="AF57">
        <v>6.3940000000000001</v>
      </c>
      <c r="AG57">
        <v>-0.19380000000000006</v>
      </c>
      <c r="AH57" t="s">
        <v>59</v>
      </c>
      <c r="AI57" t="s">
        <v>55</v>
      </c>
      <c r="AJ57" t="s">
        <v>53</v>
      </c>
    </row>
    <row r="58" spans="32:36" x14ac:dyDescent="0.25">
      <c r="AF58">
        <v>8.2729999999999997</v>
      </c>
      <c r="AG58">
        <v>-0.13480000000000009</v>
      </c>
      <c r="AH58" t="s">
        <v>59</v>
      </c>
      <c r="AI58" t="s">
        <v>55</v>
      </c>
      <c r="AJ58" t="s">
        <v>53</v>
      </c>
    </row>
    <row r="59" spans="32:36" x14ac:dyDescent="0.25">
      <c r="AF59">
        <v>9.1210000000000004</v>
      </c>
      <c r="AG59">
        <v>-0.11799999999999997</v>
      </c>
      <c r="AH59" t="s">
        <v>59</v>
      </c>
      <c r="AI59" t="s">
        <v>55</v>
      </c>
      <c r="AJ59" t="s">
        <v>53</v>
      </c>
    </row>
    <row r="60" spans="32:36" x14ac:dyDescent="0.25">
      <c r="AF60">
        <v>9.9090000000000007</v>
      </c>
      <c r="AG60">
        <v>-8.8499999999999981E-2</v>
      </c>
      <c r="AH60" t="s">
        <v>59</v>
      </c>
      <c r="AI60" t="s">
        <v>55</v>
      </c>
      <c r="AJ60" t="s">
        <v>53</v>
      </c>
    </row>
    <row r="61" spans="32:36" x14ac:dyDescent="0.25">
      <c r="AF61">
        <v>6.0999999999999999E-2</v>
      </c>
      <c r="AG61">
        <v>-1.0829</v>
      </c>
      <c r="AH61" t="s">
        <v>59</v>
      </c>
      <c r="AI61" t="s">
        <v>55</v>
      </c>
      <c r="AJ61" t="s">
        <v>56</v>
      </c>
    </row>
    <row r="62" spans="32:36" x14ac:dyDescent="0.25">
      <c r="AF62">
        <v>9.0999999999999998E-2</v>
      </c>
      <c r="AG62">
        <v>-0.96069999999999989</v>
      </c>
      <c r="AH62" t="s">
        <v>59</v>
      </c>
      <c r="AI62" t="s">
        <v>55</v>
      </c>
      <c r="AJ62" t="s">
        <v>56</v>
      </c>
    </row>
    <row r="63" spans="32:36" x14ac:dyDescent="0.25">
      <c r="AF63">
        <v>0.97</v>
      </c>
      <c r="AG63">
        <v>-0.47189999999999993</v>
      </c>
      <c r="AH63" t="s">
        <v>59</v>
      </c>
      <c r="AI63" t="s">
        <v>55</v>
      </c>
      <c r="AJ63" t="s">
        <v>56</v>
      </c>
    </row>
    <row r="64" spans="32:36" x14ac:dyDescent="0.25">
      <c r="AF64">
        <v>1.3640000000000001</v>
      </c>
      <c r="AG64">
        <v>-0.43819999999999998</v>
      </c>
      <c r="AH64" t="s">
        <v>59</v>
      </c>
      <c r="AI64" t="s">
        <v>55</v>
      </c>
      <c r="AJ64" t="s">
        <v>56</v>
      </c>
    </row>
    <row r="65" spans="32:36" x14ac:dyDescent="0.25">
      <c r="AF65">
        <v>2.8180000000000001</v>
      </c>
      <c r="AG65">
        <v>-0.36240000000000006</v>
      </c>
      <c r="AH65" t="s">
        <v>59</v>
      </c>
      <c r="AI65" t="s">
        <v>55</v>
      </c>
      <c r="AJ65" t="s">
        <v>56</v>
      </c>
    </row>
    <row r="66" spans="32:36" x14ac:dyDescent="0.25">
      <c r="AF66">
        <v>1.97</v>
      </c>
      <c r="AG66">
        <v>-0.3287000000000001</v>
      </c>
      <c r="AH66" t="s">
        <v>59</v>
      </c>
      <c r="AI66" t="s">
        <v>55</v>
      </c>
      <c r="AJ66" t="s">
        <v>56</v>
      </c>
    </row>
    <row r="67" spans="32:36" x14ac:dyDescent="0.25">
      <c r="AF67">
        <v>4.6669999999999998</v>
      </c>
      <c r="AG67">
        <v>-0.28650000000000003</v>
      </c>
      <c r="AH67" t="s">
        <v>59</v>
      </c>
      <c r="AI67" t="s">
        <v>55</v>
      </c>
      <c r="AJ67" t="s">
        <v>56</v>
      </c>
    </row>
    <row r="68" spans="32:36" x14ac:dyDescent="0.25">
      <c r="AF68">
        <v>2.2730000000000001</v>
      </c>
      <c r="AG68">
        <v>-0.26119999999999999</v>
      </c>
      <c r="AH68" t="s">
        <v>59</v>
      </c>
      <c r="AI68" t="s">
        <v>55</v>
      </c>
      <c r="AJ68" t="s">
        <v>56</v>
      </c>
    </row>
    <row r="69" spans="32:36" x14ac:dyDescent="0.25">
      <c r="AF69">
        <v>2.8479999999999999</v>
      </c>
      <c r="AG69">
        <v>-0.25280000000000002</v>
      </c>
      <c r="AH69" t="s">
        <v>59</v>
      </c>
      <c r="AI69" t="s">
        <v>55</v>
      </c>
      <c r="AJ69" t="s">
        <v>56</v>
      </c>
    </row>
    <row r="70" spans="32:36" x14ac:dyDescent="0.25">
      <c r="AF70">
        <v>5.2729999999999997</v>
      </c>
      <c r="AG70">
        <v>-0.23599999999999993</v>
      </c>
      <c r="AH70" t="s">
        <v>59</v>
      </c>
      <c r="AI70" t="s">
        <v>55</v>
      </c>
      <c r="AJ70" t="s">
        <v>56</v>
      </c>
    </row>
    <row r="71" spans="32:36" x14ac:dyDescent="0.25">
      <c r="AF71">
        <v>9.3030000000000008</v>
      </c>
      <c r="AG71">
        <v>-0.19380000000000006</v>
      </c>
      <c r="AH71" t="s">
        <v>59</v>
      </c>
      <c r="AI71" t="s">
        <v>55</v>
      </c>
      <c r="AJ71" t="s">
        <v>56</v>
      </c>
    </row>
    <row r="72" spans="32:36" x14ac:dyDescent="0.25">
      <c r="AF72">
        <v>8.1210000000000004</v>
      </c>
      <c r="AG72">
        <v>-0.10530000000000009</v>
      </c>
      <c r="AH72" t="s">
        <v>59</v>
      </c>
      <c r="AI72" t="s">
        <v>55</v>
      </c>
      <c r="AJ72" t="s">
        <v>56</v>
      </c>
    </row>
    <row r="73" spans="32:36" x14ac:dyDescent="0.25">
      <c r="AF73">
        <v>9.0999999999999998E-2</v>
      </c>
      <c r="AG73">
        <v>-1.4279999999999999</v>
      </c>
      <c r="AH73" t="s">
        <v>60</v>
      </c>
      <c r="AI73" t="s">
        <v>55</v>
      </c>
      <c r="AJ73" t="s">
        <v>53</v>
      </c>
    </row>
    <row r="74" spans="32:36" x14ac:dyDescent="0.25">
      <c r="AF74">
        <v>9.0999999999999998E-2</v>
      </c>
      <c r="AG74">
        <v>-1.3474999999999999</v>
      </c>
      <c r="AH74" t="s">
        <v>60</v>
      </c>
      <c r="AI74" t="s">
        <v>55</v>
      </c>
      <c r="AJ74" t="s">
        <v>53</v>
      </c>
    </row>
    <row r="75" spans="32:36" x14ac:dyDescent="0.25">
      <c r="AF75">
        <v>1.03</v>
      </c>
      <c r="AG75">
        <v>-1.1271</v>
      </c>
      <c r="AH75" t="s">
        <v>60</v>
      </c>
      <c r="AI75" t="s">
        <v>55</v>
      </c>
      <c r="AJ75" t="s">
        <v>53</v>
      </c>
    </row>
    <row r="76" spans="32:36" x14ac:dyDescent="0.25">
      <c r="AF76">
        <v>1.5149999999999999</v>
      </c>
      <c r="AG76">
        <v>-1.0339</v>
      </c>
      <c r="AH76" t="s">
        <v>60</v>
      </c>
      <c r="AI76" t="s">
        <v>55</v>
      </c>
      <c r="AJ76" t="s">
        <v>53</v>
      </c>
    </row>
    <row r="77" spans="32:36" x14ac:dyDescent="0.25">
      <c r="AF77">
        <v>0.90900000000000003</v>
      </c>
      <c r="AG77">
        <v>-0.88979999999999992</v>
      </c>
      <c r="AH77" t="s">
        <v>60</v>
      </c>
      <c r="AI77" t="s">
        <v>55</v>
      </c>
      <c r="AJ77" t="s">
        <v>53</v>
      </c>
    </row>
    <row r="78" spans="32:36" x14ac:dyDescent="0.25">
      <c r="AF78">
        <v>0.57599999999999996</v>
      </c>
      <c r="AG78">
        <v>-0.85590000000000011</v>
      </c>
      <c r="AH78" t="s">
        <v>60</v>
      </c>
      <c r="AI78" t="s">
        <v>55</v>
      </c>
      <c r="AJ78" t="s">
        <v>53</v>
      </c>
    </row>
    <row r="79" spans="32:36" x14ac:dyDescent="0.25">
      <c r="AF79">
        <v>3.8479999999999999</v>
      </c>
      <c r="AG79">
        <v>-0.49149999999999994</v>
      </c>
      <c r="AH79" t="s">
        <v>60</v>
      </c>
      <c r="AI79" t="s">
        <v>55</v>
      </c>
      <c r="AJ79" t="s">
        <v>53</v>
      </c>
    </row>
    <row r="80" spans="32:36" x14ac:dyDescent="0.25">
      <c r="AF80">
        <v>3.4849999999999999</v>
      </c>
      <c r="AG80">
        <v>-0.41530000000000006</v>
      </c>
      <c r="AH80" t="s">
        <v>60</v>
      </c>
      <c r="AI80" t="s">
        <v>55</v>
      </c>
      <c r="AJ80" t="s">
        <v>53</v>
      </c>
    </row>
    <row r="81" spans="32:36" x14ac:dyDescent="0.25">
      <c r="AF81">
        <v>7.5759999999999996</v>
      </c>
      <c r="AG81">
        <v>-0.24580000000000002</v>
      </c>
      <c r="AH81" t="s">
        <v>60</v>
      </c>
      <c r="AI81" t="s">
        <v>55</v>
      </c>
      <c r="AJ81" t="s">
        <v>53</v>
      </c>
    </row>
    <row r="82" spans="32:36" x14ac:dyDescent="0.25">
      <c r="AF82">
        <v>7.8479999999999999</v>
      </c>
      <c r="AG82">
        <v>-0.22029999999999994</v>
      </c>
      <c r="AH82" t="s">
        <v>60</v>
      </c>
      <c r="AI82" t="s">
        <v>55</v>
      </c>
      <c r="AJ82" t="s">
        <v>53</v>
      </c>
    </row>
    <row r="83" spans="32:36" x14ac:dyDescent="0.25">
      <c r="AF83">
        <v>6.3330000000000002</v>
      </c>
      <c r="AG83">
        <v>-0.18640000000000007</v>
      </c>
      <c r="AH83" t="s">
        <v>60</v>
      </c>
      <c r="AI83" t="s">
        <v>55</v>
      </c>
      <c r="AJ83" t="s">
        <v>53</v>
      </c>
    </row>
    <row r="84" spans="32:36" x14ac:dyDescent="0.25">
      <c r="AF84">
        <v>6.6669999999999998</v>
      </c>
      <c r="AG84">
        <v>-0.16950000000000004</v>
      </c>
      <c r="AH84" t="s">
        <v>60</v>
      </c>
      <c r="AI84" t="s">
        <v>55</v>
      </c>
      <c r="AJ84" t="s">
        <v>53</v>
      </c>
    </row>
    <row r="85" spans="32:36" x14ac:dyDescent="0.25">
      <c r="AF85">
        <v>6.8179999999999996</v>
      </c>
      <c r="AG85">
        <v>-0.14410000000000006</v>
      </c>
      <c r="AH85" t="s">
        <v>60</v>
      </c>
      <c r="AI85" t="s">
        <v>55</v>
      </c>
      <c r="AJ85" t="s">
        <v>53</v>
      </c>
    </row>
    <row r="86" spans="32:36" x14ac:dyDescent="0.25">
      <c r="AF86">
        <v>7.5759999999999996</v>
      </c>
      <c r="AG86">
        <v>-0.11440000000000002</v>
      </c>
      <c r="AH86" t="s">
        <v>60</v>
      </c>
      <c r="AI86" t="s">
        <v>55</v>
      </c>
      <c r="AJ86" t="s">
        <v>53</v>
      </c>
    </row>
    <row r="87" spans="32:36" x14ac:dyDescent="0.25">
      <c r="AF87">
        <v>6.0999999999999999E-2</v>
      </c>
      <c r="AG87">
        <v>-1.25</v>
      </c>
      <c r="AH87" t="s">
        <v>60</v>
      </c>
      <c r="AI87" t="s">
        <v>55</v>
      </c>
      <c r="AJ87" t="s">
        <v>56</v>
      </c>
    </row>
    <row r="88" spans="32:36" x14ac:dyDescent="0.25">
      <c r="AF88">
        <v>0.36399999999999999</v>
      </c>
      <c r="AG88">
        <v>-0.72030000000000005</v>
      </c>
      <c r="AH88" t="s">
        <v>60</v>
      </c>
      <c r="AI88" t="s">
        <v>55</v>
      </c>
      <c r="AJ88" t="s">
        <v>56</v>
      </c>
    </row>
    <row r="89" spans="32:36" x14ac:dyDescent="0.25">
      <c r="AF89">
        <v>0.72699999999999998</v>
      </c>
      <c r="AG89">
        <v>-0.61020000000000008</v>
      </c>
      <c r="AH89" t="s">
        <v>60</v>
      </c>
      <c r="AI89" t="s">
        <v>55</v>
      </c>
      <c r="AJ89" t="s">
        <v>56</v>
      </c>
    </row>
    <row r="90" spans="32:36" x14ac:dyDescent="0.25">
      <c r="AF90">
        <v>0.97</v>
      </c>
      <c r="AG90">
        <v>-0.52539999999999998</v>
      </c>
      <c r="AH90" t="s">
        <v>60</v>
      </c>
      <c r="AI90" t="s">
        <v>55</v>
      </c>
      <c r="AJ90" t="s">
        <v>56</v>
      </c>
    </row>
    <row r="91" spans="32:36" x14ac:dyDescent="0.25">
      <c r="AF91">
        <v>1.6060000000000001</v>
      </c>
      <c r="AG91">
        <v>-0.40679999999999994</v>
      </c>
      <c r="AH91" t="s">
        <v>60</v>
      </c>
      <c r="AI91" t="s">
        <v>55</v>
      </c>
      <c r="AJ91" t="s">
        <v>56</v>
      </c>
    </row>
    <row r="92" spans="32:36" x14ac:dyDescent="0.25">
      <c r="AF92">
        <v>1.879</v>
      </c>
      <c r="AG92">
        <v>-0.34749999999999998</v>
      </c>
      <c r="AH92" t="s">
        <v>60</v>
      </c>
      <c r="AI92" t="s">
        <v>55</v>
      </c>
      <c r="AJ92" t="s">
        <v>56</v>
      </c>
    </row>
    <row r="93" spans="32:36" x14ac:dyDescent="0.25">
      <c r="AF93">
        <v>2</v>
      </c>
      <c r="AG93">
        <v>-0.26270000000000004</v>
      </c>
      <c r="AH93" t="s">
        <v>60</v>
      </c>
      <c r="AI93" t="s">
        <v>55</v>
      </c>
      <c r="AJ93" t="s">
        <v>56</v>
      </c>
    </row>
    <row r="94" spans="32:36" x14ac:dyDescent="0.25">
      <c r="AF94">
        <v>6.0910000000000002</v>
      </c>
      <c r="AG94">
        <v>-0.23729999999999993</v>
      </c>
      <c r="AH94" t="s">
        <v>60</v>
      </c>
      <c r="AI94" t="s">
        <v>55</v>
      </c>
      <c r="AJ94" t="s">
        <v>56</v>
      </c>
    </row>
    <row r="95" spans="32:36" x14ac:dyDescent="0.25">
      <c r="AF95">
        <v>4.8179999999999996</v>
      </c>
      <c r="AG95">
        <v>-0.18640000000000007</v>
      </c>
      <c r="AH95" t="s">
        <v>60</v>
      </c>
      <c r="AI95" t="s">
        <v>55</v>
      </c>
      <c r="AJ95" t="s">
        <v>56</v>
      </c>
    </row>
    <row r="96" spans="32:36" x14ac:dyDescent="0.25">
      <c r="AF96">
        <v>5.0609999999999999</v>
      </c>
      <c r="AG96">
        <v>-0.12710000000000007</v>
      </c>
      <c r="AH96" t="s">
        <v>60</v>
      </c>
      <c r="AI96" t="s">
        <v>55</v>
      </c>
      <c r="AJ96" t="s">
        <v>56</v>
      </c>
    </row>
    <row r="97" spans="32:36" x14ac:dyDescent="0.25">
      <c r="AF97">
        <v>4.3330000000000002</v>
      </c>
      <c r="AG97">
        <v>-9.3200000000000033E-2</v>
      </c>
      <c r="AH97" t="s">
        <v>60</v>
      </c>
      <c r="AI97" t="s">
        <v>55</v>
      </c>
      <c r="AJ97" t="s">
        <v>56</v>
      </c>
    </row>
    <row r="98" spans="32:36" x14ac:dyDescent="0.25">
      <c r="AF98">
        <v>4.8179999999999996</v>
      </c>
      <c r="AG98">
        <v>-7.2000000000000064E-2</v>
      </c>
      <c r="AH98" t="s">
        <v>60</v>
      </c>
      <c r="AI98" t="s">
        <v>55</v>
      </c>
      <c r="AJ98" t="s">
        <v>56</v>
      </c>
    </row>
    <row r="99" spans="32:36" x14ac:dyDescent="0.25">
      <c r="AF99">
        <v>9.9000000000000005E-2</v>
      </c>
      <c r="AG99">
        <v>-1.3774999999999999</v>
      </c>
      <c r="AH99" t="s">
        <v>60</v>
      </c>
      <c r="AI99" t="s">
        <v>61</v>
      </c>
      <c r="AJ99" t="s">
        <v>53</v>
      </c>
    </row>
    <row r="100" spans="32:36" x14ac:dyDescent="0.25">
      <c r="AF100">
        <v>3.3000000000000002E-2</v>
      </c>
      <c r="AG100">
        <v>-1.1138999999999999</v>
      </c>
      <c r="AH100" t="s">
        <v>60</v>
      </c>
      <c r="AI100" t="s">
        <v>61</v>
      </c>
      <c r="AJ100" t="s">
        <v>53</v>
      </c>
    </row>
    <row r="101" spans="32:36" x14ac:dyDescent="0.25">
      <c r="AF101">
        <v>0.26500000000000001</v>
      </c>
      <c r="AG101">
        <v>-1.099</v>
      </c>
      <c r="AH101" t="s">
        <v>60</v>
      </c>
      <c r="AI101" t="s">
        <v>61</v>
      </c>
      <c r="AJ101" t="s">
        <v>53</v>
      </c>
    </row>
    <row r="102" spans="32:36" x14ac:dyDescent="0.25">
      <c r="AF102">
        <v>0.39800000000000002</v>
      </c>
      <c r="AG102">
        <v>-1.0396000000000001</v>
      </c>
      <c r="AH102" t="s">
        <v>60</v>
      </c>
      <c r="AI102" t="s">
        <v>61</v>
      </c>
      <c r="AJ102" t="s">
        <v>53</v>
      </c>
    </row>
    <row r="103" spans="32:36" x14ac:dyDescent="0.25">
      <c r="AF103">
        <v>1.1599999999999999</v>
      </c>
      <c r="AG103">
        <v>-0.9728</v>
      </c>
      <c r="AH103" t="s">
        <v>60</v>
      </c>
      <c r="AI103" t="s">
        <v>61</v>
      </c>
      <c r="AJ103" t="s">
        <v>53</v>
      </c>
    </row>
    <row r="104" spans="32:36" x14ac:dyDescent="0.25">
      <c r="AF104">
        <v>0.76200000000000001</v>
      </c>
      <c r="AG104">
        <v>-0.78710000000000002</v>
      </c>
      <c r="AH104" t="s">
        <v>60</v>
      </c>
      <c r="AI104" t="s">
        <v>61</v>
      </c>
      <c r="AJ104" t="s">
        <v>53</v>
      </c>
    </row>
    <row r="105" spans="32:36" x14ac:dyDescent="0.25">
      <c r="AF105">
        <v>0.53</v>
      </c>
      <c r="AG105">
        <v>-0.75739999999999996</v>
      </c>
      <c r="AH105" t="s">
        <v>60</v>
      </c>
      <c r="AI105" t="s">
        <v>61</v>
      </c>
      <c r="AJ105" t="s">
        <v>53</v>
      </c>
    </row>
    <row r="106" spans="32:36" x14ac:dyDescent="0.25">
      <c r="AF106">
        <v>2.7509999999999999</v>
      </c>
      <c r="AG106">
        <v>-0.40839999999999999</v>
      </c>
      <c r="AH106" t="s">
        <v>60</v>
      </c>
      <c r="AI106" t="s">
        <v>61</v>
      </c>
      <c r="AJ106" t="s">
        <v>53</v>
      </c>
    </row>
    <row r="107" spans="32:36" x14ac:dyDescent="0.25">
      <c r="AF107">
        <v>3.2490000000000001</v>
      </c>
      <c r="AG107">
        <v>-0.19309999999999991</v>
      </c>
      <c r="AH107" t="s">
        <v>60</v>
      </c>
      <c r="AI107" t="s">
        <v>61</v>
      </c>
      <c r="AJ107" t="s">
        <v>53</v>
      </c>
    </row>
    <row r="108" spans="32:36" x14ac:dyDescent="0.25">
      <c r="AF108">
        <v>3.746</v>
      </c>
      <c r="AG108">
        <v>-0.12620000000000003</v>
      </c>
      <c r="AH108" t="s">
        <v>60</v>
      </c>
      <c r="AI108" t="s">
        <v>61</v>
      </c>
      <c r="AJ108" t="s">
        <v>53</v>
      </c>
    </row>
    <row r="109" spans="32:36" x14ac:dyDescent="0.25">
      <c r="AF109">
        <v>5.5359999999999996</v>
      </c>
      <c r="AG109">
        <v>-7.4300000000000033E-2</v>
      </c>
      <c r="AH109" t="s">
        <v>60</v>
      </c>
      <c r="AI109" t="s">
        <v>61</v>
      </c>
      <c r="AJ109" t="s">
        <v>53</v>
      </c>
    </row>
    <row r="110" spans="32:36" x14ac:dyDescent="0.25">
      <c r="AF110">
        <v>5.1379999999999999</v>
      </c>
      <c r="AG110">
        <v>-1.1100000000000065E-2</v>
      </c>
      <c r="AH110" t="s">
        <v>60</v>
      </c>
      <c r="AI110" t="s">
        <v>61</v>
      </c>
      <c r="AJ110" t="s">
        <v>53</v>
      </c>
    </row>
    <row r="111" spans="32:36" x14ac:dyDescent="0.25">
      <c r="AF111">
        <v>3.3000000000000002E-2</v>
      </c>
      <c r="AG111">
        <v>-0.66460000000000008</v>
      </c>
      <c r="AH111" t="s">
        <v>60</v>
      </c>
      <c r="AI111" t="s">
        <v>61</v>
      </c>
      <c r="AJ111" t="s">
        <v>56</v>
      </c>
    </row>
    <row r="112" spans="32:36" x14ac:dyDescent="0.25">
      <c r="AF112">
        <v>1.1930000000000001</v>
      </c>
      <c r="AG112">
        <v>-0.54209999999999992</v>
      </c>
      <c r="AH112" t="s">
        <v>60</v>
      </c>
      <c r="AI112" t="s">
        <v>61</v>
      </c>
      <c r="AJ112" t="s">
        <v>56</v>
      </c>
    </row>
    <row r="113" spans="32:36" x14ac:dyDescent="0.25">
      <c r="AF113">
        <v>1.823</v>
      </c>
      <c r="AG113">
        <v>-0.36389999999999995</v>
      </c>
      <c r="AH113" t="s">
        <v>60</v>
      </c>
      <c r="AI113" t="s">
        <v>61</v>
      </c>
      <c r="AJ113" t="s">
        <v>56</v>
      </c>
    </row>
    <row r="114" spans="32:36" x14ac:dyDescent="0.25">
      <c r="AF114">
        <v>1.823</v>
      </c>
      <c r="AG114">
        <v>-0.30449999999999999</v>
      </c>
      <c r="AH114" t="s">
        <v>60</v>
      </c>
      <c r="AI114" t="s">
        <v>61</v>
      </c>
      <c r="AJ114" t="s">
        <v>56</v>
      </c>
    </row>
    <row r="115" spans="32:36" x14ac:dyDescent="0.25">
      <c r="AF115">
        <v>2.4860000000000002</v>
      </c>
      <c r="AG115">
        <v>-0.25250000000000006</v>
      </c>
      <c r="AH115" t="s">
        <v>60</v>
      </c>
      <c r="AI115" t="s">
        <v>61</v>
      </c>
      <c r="AJ115" t="s">
        <v>56</v>
      </c>
    </row>
    <row r="116" spans="32:36" x14ac:dyDescent="0.25">
      <c r="AF116">
        <v>3.4809999999999999</v>
      </c>
      <c r="AG116">
        <v>-0.17080000000000001</v>
      </c>
      <c r="AH116" t="s">
        <v>60</v>
      </c>
      <c r="AI116" t="s">
        <v>61</v>
      </c>
      <c r="AJ116" t="s">
        <v>56</v>
      </c>
    </row>
    <row r="117" spans="32:36" x14ac:dyDescent="0.25">
      <c r="AF117">
        <v>4.84</v>
      </c>
      <c r="AG117">
        <v>-0.14109999999999995</v>
      </c>
      <c r="AH117" t="s">
        <v>60</v>
      </c>
      <c r="AI117" t="s">
        <v>61</v>
      </c>
      <c r="AJ117" t="s">
        <v>56</v>
      </c>
    </row>
    <row r="118" spans="32:36" x14ac:dyDescent="0.25">
      <c r="AF118">
        <v>5.1710000000000003</v>
      </c>
      <c r="AG118">
        <v>-0.12620000000000003</v>
      </c>
      <c r="AH118" t="s">
        <v>60</v>
      </c>
      <c r="AI118" t="s">
        <v>61</v>
      </c>
      <c r="AJ118" t="s">
        <v>56</v>
      </c>
    </row>
    <row r="119" spans="32:36" x14ac:dyDescent="0.25">
      <c r="AF119">
        <v>5.2380000000000004</v>
      </c>
      <c r="AG119">
        <v>-8.9099999999999999E-2</v>
      </c>
      <c r="AH119" t="s">
        <v>60</v>
      </c>
      <c r="AI119" t="s">
        <v>61</v>
      </c>
      <c r="AJ119" t="s">
        <v>56</v>
      </c>
    </row>
    <row r="120" spans="32:36" x14ac:dyDescent="0.25">
      <c r="AF120">
        <v>5.8010000000000002</v>
      </c>
      <c r="AG120">
        <v>-4.8300000000000051E-2</v>
      </c>
      <c r="AH120" t="s">
        <v>60</v>
      </c>
      <c r="AI120" t="s">
        <v>61</v>
      </c>
      <c r="AJ120" t="s">
        <v>56</v>
      </c>
    </row>
    <row r="121" spans="32:36" x14ac:dyDescent="0.25">
      <c r="AF121">
        <v>5.3040000000000003</v>
      </c>
      <c r="AG121">
        <v>-0.27710000000000007</v>
      </c>
      <c r="AH121" t="s">
        <v>62</v>
      </c>
      <c r="AI121" t="s">
        <v>61</v>
      </c>
      <c r="AJ121" t="s">
        <v>53</v>
      </c>
    </row>
    <row r="122" spans="32:36" x14ac:dyDescent="0.25">
      <c r="AF122">
        <v>3.68</v>
      </c>
      <c r="AG122">
        <v>-0.34730000000000005</v>
      </c>
      <c r="AH122" t="s">
        <v>62</v>
      </c>
      <c r="AI122" t="s">
        <v>61</v>
      </c>
      <c r="AJ122" t="s">
        <v>53</v>
      </c>
    </row>
    <row r="123" spans="32:36" x14ac:dyDescent="0.25">
      <c r="AF123">
        <v>3.0830000000000002</v>
      </c>
      <c r="AG123">
        <v>-0.39160000000000006</v>
      </c>
      <c r="AH123" t="s">
        <v>62</v>
      </c>
      <c r="AI123" t="s">
        <v>61</v>
      </c>
      <c r="AJ123" t="s">
        <v>53</v>
      </c>
    </row>
    <row r="124" spans="32:36" x14ac:dyDescent="0.25">
      <c r="AF124">
        <v>2.3540000000000001</v>
      </c>
      <c r="AG124">
        <v>-0.59109999999999996</v>
      </c>
      <c r="AH124" t="s">
        <v>62</v>
      </c>
      <c r="AI124" t="s">
        <v>61</v>
      </c>
      <c r="AJ124" t="s">
        <v>53</v>
      </c>
    </row>
    <row r="125" spans="32:36" x14ac:dyDescent="0.25">
      <c r="AF125">
        <v>1.2929999999999999</v>
      </c>
      <c r="AG125">
        <v>-0.84239999999999993</v>
      </c>
      <c r="AH125" t="s">
        <v>62</v>
      </c>
      <c r="AI125" t="s">
        <v>61</v>
      </c>
      <c r="AJ125" t="s">
        <v>53</v>
      </c>
    </row>
    <row r="126" spans="32:36" x14ac:dyDescent="0.25">
      <c r="AF126">
        <v>0.39800000000000002</v>
      </c>
      <c r="AG126">
        <v>-1.1378999999999999</v>
      </c>
      <c r="AH126" t="s">
        <v>62</v>
      </c>
      <c r="AI126" t="s">
        <v>61</v>
      </c>
      <c r="AJ126" t="s">
        <v>53</v>
      </c>
    </row>
    <row r="127" spans="32:36" x14ac:dyDescent="0.25">
      <c r="AF127">
        <v>0.23200000000000001</v>
      </c>
      <c r="AG127">
        <v>-1.2414000000000001</v>
      </c>
      <c r="AH127" t="s">
        <v>62</v>
      </c>
      <c r="AI127" t="s">
        <v>61</v>
      </c>
      <c r="AJ127" t="s">
        <v>53</v>
      </c>
    </row>
    <row r="128" spans="32:36" x14ac:dyDescent="0.25">
      <c r="AF128">
        <v>3.3000000000000002E-2</v>
      </c>
      <c r="AG128">
        <v>-1.2931000000000001</v>
      </c>
      <c r="AH128" t="s">
        <v>62</v>
      </c>
      <c r="AI128" t="s">
        <v>61</v>
      </c>
      <c r="AJ128" t="s">
        <v>53</v>
      </c>
    </row>
    <row r="129" spans="32:36" x14ac:dyDescent="0.25">
      <c r="AF129">
        <v>0</v>
      </c>
      <c r="AG129">
        <v>-1.3336999999999999</v>
      </c>
      <c r="AH129" t="s">
        <v>62</v>
      </c>
      <c r="AI129" t="s">
        <v>61</v>
      </c>
      <c r="AJ129" t="s">
        <v>53</v>
      </c>
    </row>
    <row r="130" spans="32:36" x14ac:dyDescent="0.25">
      <c r="AF130">
        <v>3.8780000000000001</v>
      </c>
      <c r="AG130">
        <v>-0.86080000000000001</v>
      </c>
      <c r="AH130" t="s">
        <v>62</v>
      </c>
      <c r="AI130" t="s">
        <v>61</v>
      </c>
      <c r="AJ130" t="s">
        <v>56</v>
      </c>
    </row>
    <row r="131" spans="32:36" x14ac:dyDescent="0.25">
      <c r="AF131">
        <v>3.7789999999999999</v>
      </c>
      <c r="AG131">
        <v>-0.9163</v>
      </c>
      <c r="AH131" t="s">
        <v>62</v>
      </c>
      <c r="AI131" t="s">
        <v>61</v>
      </c>
      <c r="AJ131" t="s">
        <v>56</v>
      </c>
    </row>
    <row r="132" spans="32:36" x14ac:dyDescent="0.25">
      <c r="AF132">
        <v>3.68</v>
      </c>
      <c r="AG132">
        <v>-1.1823000000000001</v>
      </c>
      <c r="AH132" t="s">
        <v>62</v>
      </c>
      <c r="AI132" t="s">
        <v>61</v>
      </c>
      <c r="AJ132" t="s">
        <v>56</v>
      </c>
    </row>
    <row r="133" spans="32:36" x14ac:dyDescent="0.25">
      <c r="AF133">
        <v>2.2210000000000001</v>
      </c>
      <c r="AG133">
        <v>-1.2931000000000001</v>
      </c>
      <c r="AH133" t="s">
        <v>62</v>
      </c>
      <c r="AI133" t="s">
        <v>61</v>
      </c>
      <c r="AJ133" t="s">
        <v>56</v>
      </c>
    </row>
    <row r="134" spans="32:36" x14ac:dyDescent="0.25">
      <c r="AF134">
        <v>1.4590000000000001</v>
      </c>
      <c r="AG134">
        <v>-1.3522000000000001</v>
      </c>
      <c r="AH134" t="s">
        <v>62</v>
      </c>
      <c r="AI134" t="s">
        <v>61</v>
      </c>
      <c r="AJ134" t="s">
        <v>56</v>
      </c>
    </row>
    <row r="135" spans="32:36" x14ac:dyDescent="0.25">
      <c r="AF135">
        <v>0.63</v>
      </c>
      <c r="AG135">
        <v>-1.4038999999999999</v>
      </c>
      <c r="AH135" t="s">
        <v>62</v>
      </c>
      <c r="AI135" t="s">
        <v>61</v>
      </c>
      <c r="AJ135" t="s">
        <v>56</v>
      </c>
    </row>
    <row r="136" spans="32:36" x14ac:dyDescent="0.25">
      <c r="AF136">
        <v>6.6000000000000003E-2</v>
      </c>
      <c r="AG136">
        <v>-1.4666999999999999</v>
      </c>
      <c r="AH136" t="s">
        <v>62</v>
      </c>
      <c r="AI136" t="s">
        <v>61</v>
      </c>
      <c r="AJ136" t="s">
        <v>56</v>
      </c>
    </row>
    <row r="137" spans="32:36" x14ac:dyDescent="0.25">
      <c r="AF137">
        <v>0.13200000000000001</v>
      </c>
      <c r="AG137">
        <v>-1.2262999999999999</v>
      </c>
      <c r="AH137" t="s">
        <v>59</v>
      </c>
      <c r="AI137" t="s">
        <v>61</v>
      </c>
      <c r="AJ137" t="s">
        <v>53</v>
      </c>
    </row>
    <row r="138" spans="32:36" x14ac:dyDescent="0.25">
      <c r="AF138">
        <v>6.6000000000000003E-2</v>
      </c>
      <c r="AG138">
        <v>-1.1175000000000002</v>
      </c>
      <c r="AH138" t="s">
        <v>59</v>
      </c>
      <c r="AI138" t="s">
        <v>61</v>
      </c>
      <c r="AJ138" t="s">
        <v>53</v>
      </c>
    </row>
    <row r="139" spans="32:36" x14ac:dyDescent="0.25">
      <c r="AF139">
        <v>0.75800000000000001</v>
      </c>
      <c r="AG139">
        <v>-1.0649999999999999</v>
      </c>
      <c r="AH139" t="s">
        <v>59</v>
      </c>
      <c r="AI139" t="s">
        <v>61</v>
      </c>
      <c r="AJ139" t="s">
        <v>53</v>
      </c>
    </row>
    <row r="140" spans="32:36" x14ac:dyDescent="0.25">
      <c r="AF140">
        <v>2.077</v>
      </c>
      <c r="AG140">
        <v>-1.0050000000000001</v>
      </c>
      <c r="AH140" t="s">
        <v>59</v>
      </c>
      <c r="AI140" t="s">
        <v>61</v>
      </c>
      <c r="AJ140" t="s">
        <v>53</v>
      </c>
    </row>
    <row r="141" spans="32:36" x14ac:dyDescent="0.25">
      <c r="AF141">
        <v>3.0990000000000002</v>
      </c>
      <c r="AG141">
        <v>-0.46500000000000002</v>
      </c>
      <c r="AH141" t="s">
        <v>59</v>
      </c>
      <c r="AI141" t="s">
        <v>61</v>
      </c>
      <c r="AJ141" t="s">
        <v>53</v>
      </c>
    </row>
    <row r="142" spans="32:36" x14ac:dyDescent="0.25">
      <c r="AF142">
        <v>2.9340000000000002</v>
      </c>
      <c r="AG142">
        <v>-0.39749999999999996</v>
      </c>
      <c r="AH142" t="s">
        <v>59</v>
      </c>
      <c r="AI142" t="s">
        <v>61</v>
      </c>
      <c r="AJ142" t="s">
        <v>53</v>
      </c>
    </row>
    <row r="143" spans="32:36" x14ac:dyDescent="0.25">
      <c r="AF143">
        <v>4.8460000000000001</v>
      </c>
      <c r="AG143">
        <v>-0.21750000000000008</v>
      </c>
      <c r="AH143" t="s">
        <v>59</v>
      </c>
      <c r="AI143" t="s">
        <v>61</v>
      </c>
      <c r="AJ143" t="s">
        <v>53</v>
      </c>
    </row>
    <row r="144" spans="32:36" x14ac:dyDescent="0.25">
      <c r="AF144">
        <v>7.22</v>
      </c>
      <c r="AG144">
        <v>-0.15</v>
      </c>
      <c r="AH144" t="s">
        <v>59</v>
      </c>
      <c r="AI144" t="s">
        <v>61</v>
      </c>
      <c r="AJ144" t="s">
        <v>53</v>
      </c>
    </row>
    <row r="145" spans="32:36" x14ac:dyDescent="0.25">
      <c r="AF145">
        <v>6.7249999999999996</v>
      </c>
      <c r="AG145">
        <v>-0.11999999999999993</v>
      </c>
      <c r="AH145" t="s">
        <v>59</v>
      </c>
      <c r="AI145" t="s">
        <v>61</v>
      </c>
      <c r="AJ145" t="s">
        <v>53</v>
      </c>
    </row>
    <row r="146" spans="32:36" x14ac:dyDescent="0.25">
      <c r="AF146">
        <v>7.5819999999999999</v>
      </c>
      <c r="AG146">
        <v>-8.2499999999999934E-2</v>
      </c>
      <c r="AH146" t="s">
        <v>59</v>
      </c>
      <c r="AI146" t="s">
        <v>61</v>
      </c>
      <c r="AJ146" t="s">
        <v>53</v>
      </c>
    </row>
    <row r="147" spans="32:36" x14ac:dyDescent="0.25">
      <c r="AF147">
        <v>8.2750000000000004</v>
      </c>
      <c r="AG147">
        <v>-4.8700000000000007E-2</v>
      </c>
      <c r="AH147" t="s">
        <v>59</v>
      </c>
      <c r="AI147" t="s">
        <v>61</v>
      </c>
      <c r="AJ147" t="s">
        <v>53</v>
      </c>
    </row>
    <row r="148" spans="32:36" x14ac:dyDescent="0.25">
      <c r="AF148">
        <v>0.13200000000000001</v>
      </c>
      <c r="AG148">
        <v>-0.70130000000000003</v>
      </c>
      <c r="AH148" t="s">
        <v>59</v>
      </c>
      <c r="AI148" t="s">
        <v>61</v>
      </c>
      <c r="AJ148" t="s">
        <v>56</v>
      </c>
    </row>
    <row r="149" spans="32:36" x14ac:dyDescent="0.25">
      <c r="AF149">
        <v>0.79100000000000004</v>
      </c>
      <c r="AG149">
        <v>-0.55500000000000005</v>
      </c>
      <c r="AH149" t="s">
        <v>59</v>
      </c>
      <c r="AI149" t="s">
        <v>61</v>
      </c>
      <c r="AJ149" t="s">
        <v>56</v>
      </c>
    </row>
    <row r="150" spans="32:36" x14ac:dyDescent="0.25">
      <c r="AF150">
        <v>0.72499999999999998</v>
      </c>
      <c r="AG150">
        <v>-0.39</v>
      </c>
      <c r="AH150" t="s">
        <v>59</v>
      </c>
      <c r="AI150" t="s">
        <v>61</v>
      </c>
      <c r="AJ150" t="s">
        <v>56</v>
      </c>
    </row>
    <row r="151" spans="32:36" x14ac:dyDescent="0.25">
      <c r="AF151">
        <v>1.5489999999999999</v>
      </c>
      <c r="AG151">
        <v>-0.36</v>
      </c>
      <c r="AH151" t="s">
        <v>59</v>
      </c>
      <c r="AI151" t="s">
        <v>61</v>
      </c>
      <c r="AJ151" t="s">
        <v>56</v>
      </c>
    </row>
    <row r="152" spans="32:36" x14ac:dyDescent="0.25">
      <c r="AF152">
        <v>2.835</v>
      </c>
      <c r="AG152">
        <v>-0.25500000000000006</v>
      </c>
      <c r="AH152" t="s">
        <v>59</v>
      </c>
      <c r="AI152" t="s">
        <v>61</v>
      </c>
      <c r="AJ152" t="s">
        <v>56</v>
      </c>
    </row>
    <row r="153" spans="32:36" x14ac:dyDescent="0.25">
      <c r="AF153">
        <v>7.2530000000000001</v>
      </c>
      <c r="AG153">
        <v>-0.13499999999999995</v>
      </c>
      <c r="AH153" t="s">
        <v>59</v>
      </c>
      <c r="AI153" t="s">
        <v>61</v>
      </c>
      <c r="AJ153" t="s">
        <v>56</v>
      </c>
    </row>
    <row r="154" spans="32:36" x14ac:dyDescent="0.25">
      <c r="AF154">
        <v>5.7030000000000003</v>
      </c>
      <c r="AG154">
        <v>-0.10879999999999992</v>
      </c>
      <c r="AH154" t="s">
        <v>59</v>
      </c>
      <c r="AI154" t="s">
        <v>61</v>
      </c>
      <c r="AJ154" t="s">
        <v>56</v>
      </c>
    </row>
  </sheetData>
  <sortState xmlns:xlrd2="http://schemas.microsoft.com/office/spreadsheetml/2017/richdata2" ref="X27:X33">
    <sortCondition descending="1" ref="X27:X33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36C40-2A2A-4518-AC5C-714E291C9F7C}">
  <dimension ref="A1"/>
  <sheetViews>
    <sheetView workbookViewId="0">
      <selection activeCell="E42" sqref="E4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 info</vt:lpstr>
      <vt:lpstr>datasets for curve fitting</vt:lpstr>
      <vt:lpstr>comparisons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Fleisher, David - REE-ARS</dc:creator>
  <cp:lastModifiedBy>Fleisher, David - REE-ARS</cp:lastModifiedBy>
  <dcterms:created xsi:type="dcterms:W3CDTF">2024-05-20T19:37:54Z</dcterms:created>
  <dcterms:modified xsi:type="dcterms:W3CDTF">2024-05-23T21:01:17Z</dcterms:modified>
</cp:coreProperties>
</file>