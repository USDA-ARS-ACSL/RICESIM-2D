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ICESIM-2D\RICESIM-2D\improvements\gs vs psi\"/>
    </mc:Choice>
  </mc:AlternateContent>
  <xr:revisionPtr revIDLastSave="0" documentId="13_ncr:1_{CDB523DF-6D18-41D7-BC6D-5EAFB4BF5F85}" xr6:coauthVersionLast="47" xr6:coauthVersionMax="47" xr10:uidLastSave="{00000000-0000-0000-0000-000000000000}"/>
  <bookViews>
    <workbookView xWindow="28680" yWindow="-1200" windowWidth="30960" windowHeight="16800" xr2:uid="{70F1669B-886A-4B15-BE3A-BFF96A8B4CAC}"/>
  </bookViews>
  <sheets>
    <sheet name="gs vs p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1" l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6" i="1"/>
  <c r="T7" i="1"/>
  <c r="V7" i="1"/>
  <c r="AA7" i="1" s="1"/>
  <c r="V8" i="1"/>
  <c r="AA8" i="1" s="1"/>
  <c r="V9" i="1"/>
  <c r="AA9" i="1" s="1"/>
  <c r="V10" i="1"/>
  <c r="AA10" i="1" s="1"/>
  <c r="V11" i="1"/>
  <c r="AA11" i="1" s="1"/>
  <c r="V12" i="1"/>
  <c r="AA12" i="1" s="1"/>
  <c r="V13" i="1"/>
  <c r="AA13" i="1" s="1"/>
  <c r="V14" i="1"/>
  <c r="AA14" i="1" s="1"/>
  <c r="V15" i="1"/>
  <c r="AA15" i="1" s="1"/>
  <c r="V16" i="1"/>
  <c r="AA16" i="1" s="1"/>
  <c r="V17" i="1"/>
  <c r="AA17" i="1" s="1"/>
  <c r="V18" i="1"/>
  <c r="AA18" i="1" s="1"/>
  <c r="V19" i="1"/>
  <c r="AA19" i="1" s="1"/>
  <c r="V20" i="1"/>
  <c r="AA20" i="1" s="1"/>
  <c r="V21" i="1"/>
  <c r="AA21" i="1" s="1"/>
  <c r="V22" i="1"/>
  <c r="AA22" i="1" s="1"/>
  <c r="V23" i="1"/>
  <c r="AA23" i="1" s="1"/>
  <c r="V24" i="1"/>
  <c r="AA24" i="1" s="1"/>
  <c r="V25" i="1"/>
  <c r="AA25" i="1" s="1"/>
  <c r="V26" i="1"/>
  <c r="AA26" i="1" s="1"/>
  <c r="V27" i="1"/>
  <c r="AA27" i="1" s="1"/>
  <c r="V28" i="1"/>
  <c r="AA28" i="1" s="1"/>
  <c r="V29" i="1"/>
  <c r="AA29" i="1" s="1"/>
  <c r="V30" i="1"/>
  <c r="AA30" i="1" s="1"/>
  <c r="V31" i="1"/>
  <c r="AA31" i="1" s="1"/>
  <c r="V32" i="1"/>
  <c r="AA32" i="1" s="1"/>
  <c r="V33" i="1"/>
  <c r="AA33" i="1" s="1"/>
  <c r="V34" i="1"/>
  <c r="AA34" i="1" s="1"/>
  <c r="V35" i="1"/>
  <c r="AA35" i="1" s="1"/>
  <c r="V36" i="1"/>
  <c r="AA36" i="1" s="1"/>
  <c r="V37" i="1"/>
  <c r="AA37" i="1" s="1"/>
  <c r="V38" i="1"/>
  <c r="AA38" i="1" s="1"/>
  <c r="V39" i="1"/>
  <c r="AA39" i="1" s="1"/>
  <c r="V40" i="1"/>
  <c r="AA40" i="1" s="1"/>
  <c r="V41" i="1"/>
  <c r="AA41" i="1" s="1"/>
  <c r="V42" i="1"/>
  <c r="AA42" i="1" s="1"/>
  <c r="V43" i="1"/>
  <c r="AA43" i="1" s="1"/>
  <c r="V44" i="1"/>
  <c r="AA44" i="1" s="1"/>
  <c r="V45" i="1"/>
  <c r="AA45" i="1" s="1"/>
  <c r="V46" i="1"/>
  <c r="AA46" i="1" s="1"/>
  <c r="V6" i="1"/>
  <c r="AA6" i="1" s="1"/>
  <c r="AA4" i="1" l="1"/>
</calcChain>
</file>

<file path=xl/sharedStrings.xml><?xml version="1.0" encoding="utf-8"?>
<sst xmlns="http://schemas.openxmlformats.org/spreadsheetml/2006/main" count="26" uniqueCount="26">
  <si>
    <t>Zhang, Q., W. Tang, Z. Xiong, S. Peng and Y. Li (2023). "Stomatal conductance in rice leaves and panicles responds differently to abscisic acid and soil drought." J Exp Bot 74(5): 1551-1563.</t>
  </si>
  <si>
    <t>leaf gas exchange properties</t>
  </si>
  <si>
    <t>psi (MPA)</t>
  </si>
  <si>
    <t>gs (mol m-2 s-1)</t>
  </si>
  <si>
    <t>used www.graphreader to convert datapoints</t>
  </si>
  <si>
    <t>Tuzet model</t>
  </si>
  <si>
    <t>sf</t>
  </si>
  <si>
    <t>phyf</t>
  </si>
  <si>
    <t>gsnormalized</t>
  </si>
  <si>
    <t>gs predicted</t>
  </si>
  <si>
    <t>max gs</t>
  </si>
  <si>
    <t>rmse</t>
  </si>
  <si>
    <t>2.3;-0.15</t>
  </si>
  <si>
    <t>sq dev</t>
  </si>
  <si>
    <t>4;-0.67</t>
  </si>
  <si>
    <t>temp</t>
  </si>
  <si>
    <t>4;-0.61</t>
  </si>
  <si>
    <t>2.87;-0.5</t>
  </si>
  <si>
    <t>By hand</t>
  </si>
  <si>
    <t>From R curve fitting</t>
  </si>
  <si>
    <t>after panicle initiation</t>
  </si>
  <si>
    <t>outdoor pot study</t>
  </si>
  <si>
    <t>variety LY287 and YY12  (chinese variety, indica?)</t>
  </si>
  <si>
    <t>at anthesis without grainfilling, measured in indoor growth chamber</t>
  </si>
  <si>
    <t>28/22C; 60%RH; 400 umol CO2, PPF at 1000 umol</t>
  </si>
  <si>
    <t>leaf conditions: 400ppm; 1500 umol PPF; Tleaf 28C, about 1.5 kPa VPD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</si>
</sst>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3" borderId="0" xfId="2"/>
    <xf numFmtId="0" fontId="1" fillId="2" borderId="0" xfId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gs vs psi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'gs vs psi'!$N$6:$N$46</c:f>
              <c:numCache>
                <c:formatCode>General</c:formatCode>
                <c:ptCount val="41"/>
                <c:pt idx="0">
                  <c:v>-0.26100000000000001</c:v>
                </c:pt>
                <c:pt idx="1">
                  <c:v>-0.30299999999999999</c:v>
                </c:pt>
                <c:pt idx="2">
                  <c:v>-0.34799999999999998</c:v>
                </c:pt>
                <c:pt idx="3">
                  <c:v>-0.379</c:v>
                </c:pt>
                <c:pt idx="4">
                  <c:v>-0.41699999999999998</c:v>
                </c:pt>
                <c:pt idx="5">
                  <c:v>-0.432</c:v>
                </c:pt>
                <c:pt idx="6">
                  <c:v>-0.46200000000000002</c:v>
                </c:pt>
                <c:pt idx="7">
                  <c:v>-0.47699999999999998</c:v>
                </c:pt>
                <c:pt idx="8">
                  <c:v>-0.50800000000000001</c:v>
                </c:pt>
                <c:pt idx="9">
                  <c:v>-0.53</c:v>
                </c:pt>
                <c:pt idx="10">
                  <c:v>-0.57599999999999996</c:v>
                </c:pt>
                <c:pt idx="11">
                  <c:v>-0.59799999999999998</c:v>
                </c:pt>
                <c:pt idx="12">
                  <c:v>-0.621</c:v>
                </c:pt>
                <c:pt idx="13">
                  <c:v>-0.69699999999999995</c:v>
                </c:pt>
                <c:pt idx="14">
                  <c:v>-0.72</c:v>
                </c:pt>
                <c:pt idx="15">
                  <c:v>-0.72699999999999998</c:v>
                </c:pt>
                <c:pt idx="16">
                  <c:v>-0.76500000000000001</c:v>
                </c:pt>
                <c:pt idx="17">
                  <c:v>-0.81799999999999995</c:v>
                </c:pt>
                <c:pt idx="18">
                  <c:v>-0.84799999999999998</c:v>
                </c:pt>
                <c:pt idx="19">
                  <c:v>-0.86399999999999999</c:v>
                </c:pt>
                <c:pt idx="20">
                  <c:v>-0.88600000000000001</c:v>
                </c:pt>
                <c:pt idx="21">
                  <c:v>-0.93899999999999995</c:v>
                </c:pt>
                <c:pt idx="22">
                  <c:v>-0.97</c:v>
                </c:pt>
                <c:pt idx="23">
                  <c:v>-0.99199999999999999</c:v>
                </c:pt>
                <c:pt idx="24">
                  <c:v>-1.03</c:v>
                </c:pt>
                <c:pt idx="25">
                  <c:v>-1.091</c:v>
                </c:pt>
                <c:pt idx="26">
                  <c:v>-1.1140000000000001</c:v>
                </c:pt>
                <c:pt idx="27">
                  <c:v>-1.129</c:v>
                </c:pt>
                <c:pt idx="28">
                  <c:v>-1.1739999999999999</c:v>
                </c:pt>
                <c:pt idx="29">
                  <c:v>-1.1819999999999999</c:v>
                </c:pt>
                <c:pt idx="30">
                  <c:v>-1.3939999999999999</c:v>
                </c:pt>
                <c:pt idx="31">
                  <c:v>-1.462</c:v>
                </c:pt>
                <c:pt idx="32">
                  <c:v>-1.4850000000000001</c:v>
                </c:pt>
                <c:pt idx="33">
                  <c:v>-1.5609999999999999</c:v>
                </c:pt>
                <c:pt idx="34">
                  <c:v>-1.591</c:v>
                </c:pt>
                <c:pt idx="35">
                  <c:v>-1.712</c:v>
                </c:pt>
                <c:pt idx="36">
                  <c:v>-1.7350000000000001</c:v>
                </c:pt>
                <c:pt idx="37">
                  <c:v>-1.841</c:v>
                </c:pt>
                <c:pt idx="38">
                  <c:v>-1.9239999999999999</c:v>
                </c:pt>
                <c:pt idx="39">
                  <c:v>-2.0830000000000002</c:v>
                </c:pt>
                <c:pt idx="40">
                  <c:v>-2.36</c:v>
                </c:pt>
              </c:numCache>
            </c:numRef>
          </c:xVal>
          <c:yVal>
            <c:numRef>
              <c:f>'gs vs psi'!$O$6:$O$46</c:f>
              <c:numCache>
                <c:formatCode>General</c:formatCode>
                <c:ptCount val="41"/>
                <c:pt idx="0">
                  <c:v>0.58199999999999996</c:v>
                </c:pt>
                <c:pt idx="1">
                  <c:v>0.56999999999999995</c:v>
                </c:pt>
                <c:pt idx="2">
                  <c:v>0.34599999999999997</c:v>
                </c:pt>
                <c:pt idx="3">
                  <c:v>0.79</c:v>
                </c:pt>
                <c:pt idx="4">
                  <c:v>0.67200000000000004</c:v>
                </c:pt>
                <c:pt idx="5">
                  <c:v>0.35799999999999998</c:v>
                </c:pt>
                <c:pt idx="6">
                  <c:v>0.76800000000000002</c:v>
                </c:pt>
                <c:pt idx="7">
                  <c:v>0.41299999999999998</c:v>
                </c:pt>
                <c:pt idx="8">
                  <c:v>0.45100000000000001</c:v>
                </c:pt>
                <c:pt idx="9">
                  <c:v>0.378</c:v>
                </c:pt>
                <c:pt idx="10">
                  <c:v>0.60199999999999998</c:v>
                </c:pt>
                <c:pt idx="11">
                  <c:v>0.70699999999999996</c:v>
                </c:pt>
                <c:pt idx="12">
                  <c:v>0.154</c:v>
                </c:pt>
                <c:pt idx="13">
                  <c:v>0.55700000000000005</c:v>
                </c:pt>
                <c:pt idx="14">
                  <c:v>0.33</c:v>
                </c:pt>
                <c:pt idx="15">
                  <c:v>0.154</c:v>
                </c:pt>
                <c:pt idx="16">
                  <c:v>0.36199999999999999</c:v>
                </c:pt>
                <c:pt idx="17">
                  <c:v>0.186</c:v>
                </c:pt>
                <c:pt idx="18">
                  <c:v>0.157</c:v>
                </c:pt>
                <c:pt idx="19">
                  <c:v>0.40300000000000002</c:v>
                </c:pt>
                <c:pt idx="20">
                  <c:v>0.28499999999999998</c:v>
                </c:pt>
                <c:pt idx="21">
                  <c:v>0.109</c:v>
                </c:pt>
                <c:pt idx="22">
                  <c:v>0.192</c:v>
                </c:pt>
                <c:pt idx="23">
                  <c:v>7.3999999999999996E-2</c:v>
                </c:pt>
                <c:pt idx="24">
                  <c:v>0.14099999999999999</c:v>
                </c:pt>
                <c:pt idx="25">
                  <c:v>0.20799999999999999</c:v>
                </c:pt>
                <c:pt idx="26">
                  <c:v>0.157</c:v>
                </c:pt>
                <c:pt idx="27">
                  <c:v>0.109</c:v>
                </c:pt>
                <c:pt idx="28">
                  <c:v>0.192</c:v>
                </c:pt>
                <c:pt idx="29">
                  <c:v>3.5000000000000003E-2</c:v>
                </c:pt>
                <c:pt idx="30">
                  <c:v>5.8000000000000003E-2</c:v>
                </c:pt>
                <c:pt idx="31">
                  <c:v>0.08</c:v>
                </c:pt>
                <c:pt idx="32">
                  <c:v>4.4999999999999998E-2</c:v>
                </c:pt>
                <c:pt idx="33">
                  <c:v>4.2000000000000003E-2</c:v>
                </c:pt>
                <c:pt idx="34">
                  <c:v>0.122</c:v>
                </c:pt>
                <c:pt idx="35">
                  <c:v>6.4000000000000001E-2</c:v>
                </c:pt>
                <c:pt idx="36">
                  <c:v>0.08</c:v>
                </c:pt>
                <c:pt idx="37">
                  <c:v>4.4999999999999998E-2</c:v>
                </c:pt>
                <c:pt idx="38">
                  <c:v>7.3999999999999996E-2</c:v>
                </c:pt>
                <c:pt idx="39">
                  <c:v>5.0999999999999997E-2</c:v>
                </c:pt>
                <c:pt idx="40">
                  <c:v>5.3999999999999999E-2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EB-4BBA-9876-FE27C5BEC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73520"/>
        <c:axId val="2136337872"/>
      </c:scatterChart>
      <c:valAx>
        <c:axId val="14367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337872"/>
        <c:crosses val="autoZero"/>
        <c:crossBetween val="midCat"/>
      </c:valAx>
      <c:valAx>
        <c:axId val="213633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7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normalize</a:t>
            </a:r>
            <a:r>
              <a:rPr lang="en-US" baseline="0"/>
              <a:t>d gs vs psi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'gs vs psi'!$N$6:$N$46</c:f>
              <c:numCache>
                <c:formatCode>General</c:formatCode>
                <c:ptCount val="41"/>
                <c:pt idx="0">
                  <c:v>-0.26100000000000001</c:v>
                </c:pt>
                <c:pt idx="1">
                  <c:v>-0.30299999999999999</c:v>
                </c:pt>
                <c:pt idx="2">
                  <c:v>-0.34799999999999998</c:v>
                </c:pt>
                <c:pt idx="3">
                  <c:v>-0.379</c:v>
                </c:pt>
                <c:pt idx="4">
                  <c:v>-0.41699999999999998</c:v>
                </c:pt>
                <c:pt idx="5">
                  <c:v>-0.432</c:v>
                </c:pt>
                <c:pt idx="6">
                  <c:v>-0.46200000000000002</c:v>
                </c:pt>
                <c:pt idx="7">
                  <c:v>-0.47699999999999998</c:v>
                </c:pt>
                <c:pt idx="8">
                  <c:v>-0.50800000000000001</c:v>
                </c:pt>
                <c:pt idx="9">
                  <c:v>-0.53</c:v>
                </c:pt>
                <c:pt idx="10">
                  <c:v>-0.57599999999999996</c:v>
                </c:pt>
                <c:pt idx="11">
                  <c:v>-0.59799999999999998</c:v>
                </c:pt>
                <c:pt idx="12">
                  <c:v>-0.621</c:v>
                </c:pt>
                <c:pt idx="13">
                  <c:v>-0.69699999999999995</c:v>
                </c:pt>
                <c:pt idx="14">
                  <c:v>-0.72</c:v>
                </c:pt>
                <c:pt idx="15">
                  <c:v>-0.72699999999999998</c:v>
                </c:pt>
                <c:pt idx="16">
                  <c:v>-0.76500000000000001</c:v>
                </c:pt>
                <c:pt idx="17">
                  <c:v>-0.81799999999999995</c:v>
                </c:pt>
                <c:pt idx="18">
                  <c:v>-0.84799999999999998</c:v>
                </c:pt>
                <c:pt idx="19">
                  <c:v>-0.86399999999999999</c:v>
                </c:pt>
                <c:pt idx="20">
                  <c:v>-0.88600000000000001</c:v>
                </c:pt>
                <c:pt idx="21">
                  <c:v>-0.93899999999999995</c:v>
                </c:pt>
                <c:pt idx="22">
                  <c:v>-0.97</c:v>
                </c:pt>
                <c:pt idx="23">
                  <c:v>-0.99199999999999999</c:v>
                </c:pt>
                <c:pt idx="24">
                  <c:v>-1.03</c:v>
                </c:pt>
                <c:pt idx="25">
                  <c:v>-1.091</c:v>
                </c:pt>
                <c:pt idx="26">
                  <c:v>-1.1140000000000001</c:v>
                </c:pt>
                <c:pt idx="27">
                  <c:v>-1.129</c:v>
                </c:pt>
                <c:pt idx="28">
                  <c:v>-1.1739999999999999</c:v>
                </c:pt>
                <c:pt idx="29">
                  <c:v>-1.1819999999999999</c:v>
                </c:pt>
                <c:pt idx="30">
                  <c:v>-1.3939999999999999</c:v>
                </c:pt>
                <c:pt idx="31">
                  <c:v>-1.462</c:v>
                </c:pt>
                <c:pt idx="32">
                  <c:v>-1.4850000000000001</c:v>
                </c:pt>
                <c:pt idx="33">
                  <c:v>-1.5609999999999999</c:v>
                </c:pt>
                <c:pt idx="34">
                  <c:v>-1.591</c:v>
                </c:pt>
                <c:pt idx="35">
                  <c:v>-1.712</c:v>
                </c:pt>
                <c:pt idx="36">
                  <c:v>-1.7350000000000001</c:v>
                </c:pt>
                <c:pt idx="37">
                  <c:v>-1.841</c:v>
                </c:pt>
                <c:pt idx="38">
                  <c:v>-1.9239999999999999</c:v>
                </c:pt>
                <c:pt idx="39">
                  <c:v>-2.0830000000000002</c:v>
                </c:pt>
                <c:pt idx="40">
                  <c:v>-2.36</c:v>
                </c:pt>
              </c:numCache>
            </c:numRef>
          </c:xVal>
          <c:yVal>
            <c:numRef>
              <c:f>'gs vs psi'!$U$6:$U$46</c:f>
              <c:numCache>
                <c:formatCode>General</c:formatCode>
                <c:ptCount val="41"/>
                <c:pt idx="0">
                  <c:v>0.7367088607594936</c:v>
                </c:pt>
                <c:pt idx="1">
                  <c:v>0.72151898734177211</c:v>
                </c:pt>
                <c:pt idx="2">
                  <c:v>0.43797468354430374</c:v>
                </c:pt>
                <c:pt idx="3">
                  <c:v>1</c:v>
                </c:pt>
                <c:pt idx="4">
                  <c:v>0.85063291139240504</c:v>
                </c:pt>
                <c:pt idx="5">
                  <c:v>0.45316455696202529</c:v>
                </c:pt>
                <c:pt idx="6">
                  <c:v>0.97215189873417718</c:v>
                </c:pt>
                <c:pt idx="7">
                  <c:v>0.52278481012658218</c:v>
                </c:pt>
                <c:pt idx="8">
                  <c:v>0.57088607594936713</c:v>
                </c:pt>
                <c:pt idx="9">
                  <c:v>0.47848101265822784</c:v>
                </c:pt>
                <c:pt idx="10">
                  <c:v>0.76202531645569616</c:v>
                </c:pt>
                <c:pt idx="11">
                  <c:v>0.89493670886075938</c:v>
                </c:pt>
                <c:pt idx="12">
                  <c:v>0.19493670886075948</c:v>
                </c:pt>
                <c:pt idx="13">
                  <c:v>0.70506329113924049</c:v>
                </c:pt>
                <c:pt idx="14">
                  <c:v>0.41772151898734178</c:v>
                </c:pt>
                <c:pt idx="15">
                  <c:v>0.19493670886075948</c:v>
                </c:pt>
                <c:pt idx="16">
                  <c:v>0.45822784810126577</c:v>
                </c:pt>
                <c:pt idx="17">
                  <c:v>0.23544303797468352</c:v>
                </c:pt>
                <c:pt idx="18">
                  <c:v>0.19873417721518988</c:v>
                </c:pt>
                <c:pt idx="19">
                  <c:v>0.51012658227848107</c:v>
                </c:pt>
                <c:pt idx="20">
                  <c:v>0.36075949367088606</c:v>
                </c:pt>
                <c:pt idx="21">
                  <c:v>0.13797468354430378</c:v>
                </c:pt>
                <c:pt idx="22">
                  <c:v>0.24303797468354429</c:v>
                </c:pt>
                <c:pt idx="23">
                  <c:v>9.3670886075949353E-2</c:v>
                </c:pt>
                <c:pt idx="24">
                  <c:v>0.17848101265822783</c:v>
                </c:pt>
                <c:pt idx="25">
                  <c:v>0.26329113924050629</c:v>
                </c:pt>
                <c:pt idx="26">
                  <c:v>0.19873417721518988</c:v>
                </c:pt>
                <c:pt idx="27">
                  <c:v>0.13797468354430378</c:v>
                </c:pt>
                <c:pt idx="28">
                  <c:v>0.24303797468354429</c:v>
                </c:pt>
                <c:pt idx="29">
                  <c:v>4.4303797468354431E-2</c:v>
                </c:pt>
                <c:pt idx="30">
                  <c:v>7.3417721518987344E-2</c:v>
                </c:pt>
                <c:pt idx="31">
                  <c:v>0.10126582278481013</c:v>
                </c:pt>
                <c:pt idx="32">
                  <c:v>5.6962025316455694E-2</c:v>
                </c:pt>
                <c:pt idx="33">
                  <c:v>5.3164556962025315E-2</c:v>
                </c:pt>
                <c:pt idx="34">
                  <c:v>0.15443037974683543</c:v>
                </c:pt>
                <c:pt idx="35">
                  <c:v>8.1012658227848103E-2</c:v>
                </c:pt>
                <c:pt idx="36">
                  <c:v>0.10126582278481013</c:v>
                </c:pt>
                <c:pt idx="37">
                  <c:v>5.6962025316455694E-2</c:v>
                </c:pt>
                <c:pt idx="38">
                  <c:v>9.3670886075949353E-2</c:v>
                </c:pt>
                <c:pt idx="39">
                  <c:v>6.4556962025316453E-2</c:v>
                </c:pt>
                <c:pt idx="40">
                  <c:v>6.8354430379746825E-2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63-4E35-AC30-8CEB5BC8A3E0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'gs vs psi'!$N$6:$N$46</c:f>
              <c:numCache>
                <c:formatCode>General</c:formatCode>
                <c:ptCount val="41"/>
                <c:pt idx="0">
                  <c:v>-0.26100000000000001</c:v>
                </c:pt>
                <c:pt idx="1">
                  <c:v>-0.30299999999999999</c:v>
                </c:pt>
                <c:pt idx="2">
                  <c:v>-0.34799999999999998</c:v>
                </c:pt>
                <c:pt idx="3">
                  <c:v>-0.379</c:v>
                </c:pt>
                <c:pt idx="4">
                  <c:v>-0.41699999999999998</c:v>
                </c:pt>
                <c:pt idx="5">
                  <c:v>-0.432</c:v>
                </c:pt>
                <c:pt idx="6">
                  <c:v>-0.46200000000000002</c:v>
                </c:pt>
                <c:pt idx="7">
                  <c:v>-0.47699999999999998</c:v>
                </c:pt>
                <c:pt idx="8">
                  <c:v>-0.50800000000000001</c:v>
                </c:pt>
                <c:pt idx="9">
                  <c:v>-0.53</c:v>
                </c:pt>
                <c:pt idx="10">
                  <c:v>-0.57599999999999996</c:v>
                </c:pt>
                <c:pt idx="11">
                  <c:v>-0.59799999999999998</c:v>
                </c:pt>
                <c:pt idx="12">
                  <c:v>-0.621</c:v>
                </c:pt>
                <c:pt idx="13">
                  <c:v>-0.69699999999999995</c:v>
                </c:pt>
                <c:pt idx="14">
                  <c:v>-0.72</c:v>
                </c:pt>
                <c:pt idx="15">
                  <c:v>-0.72699999999999998</c:v>
                </c:pt>
                <c:pt idx="16">
                  <c:v>-0.76500000000000001</c:v>
                </c:pt>
                <c:pt idx="17">
                  <c:v>-0.81799999999999995</c:v>
                </c:pt>
                <c:pt idx="18">
                  <c:v>-0.84799999999999998</c:v>
                </c:pt>
                <c:pt idx="19">
                  <c:v>-0.86399999999999999</c:v>
                </c:pt>
                <c:pt idx="20">
                  <c:v>-0.88600000000000001</c:v>
                </c:pt>
                <c:pt idx="21">
                  <c:v>-0.93899999999999995</c:v>
                </c:pt>
                <c:pt idx="22">
                  <c:v>-0.97</c:v>
                </c:pt>
                <c:pt idx="23">
                  <c:v>-0.99199999999999999</c:v>
                </c:pt>
                <c:pt idx="24">
                  <c:v>-1.03</c:v>
                </c:pt>
                <c:pt idx="25">
                  <c:v>-1.091</c:v>
                </c:pt>
                <c:pt idx="26">
                  <c:v>-1.1140000000000001</c:v>
                </c:pt>
                <c:pt idx="27">
                  <c:v>-1.129</c:v>
                </c:pt>
                <c:pt idx="28">
                  <c:v>-1.1739999999999999</c:v>
                </c:pt>
                <c:pt idx="29">
                  <c:v>-1.1819999999999999</c:v>
                </c:pt>
                <c:pt idx="30">
                  <c:v>-1.3939999999999999</c:v>
                </c:pt>
                <c:pt idx="31">
                  <c:v>-1.462</c:v>
                </c:pt>
                <c:pt idx="32">
                  <c:v>-1.4850000000000001</c:v>
                </c:pt>
                <c:pt idx="33">
                  <c:v>-1.5609999999999999</c:v>
                </c:pt>
                <c:pt idx="34">
                  <c:v>-1.591</c:v>
                </c:pt>
                <c:pt idx="35">
                  <c:v>-1.712</c:v>
                </c:pt>
                <c:pt idx="36">
                  <c:v>-1.7350000000000001</c:v>
                </c:pt>
                <c:pt idx="37">
                  <c:v>-1.841</c:v>
                </c:pt>
                <c:pt idx="38">
                  <c:v>-1.9239999999999999</c:v>
                </c:pt>
                <c:pt idx="39">
                  <c:v>-2.0830000000000002</c:v>
                </c:pt>
                <c:pt idx="40">
                  <c:v>-2.36</c:v>
                </c:pt>
              </c:numCache>
            </c:numRef>
          </c:xVal>
          <c:yVal>
            <c:numRef>
              <c:f>'gs vs psi'!$V$6:$V$46</c:f>
              <c:numCache>
                <c:formatCode>General</c:formatCode>
                <c:ptCount val="41"/>
                <c:pt idx="0">
                  <c:v>0.82342214831424987</c:v>
                </c:pt>
                <c:pt idx="1">
                  <c:v>0.78954463569929112</c:v>
                </c:pt>
                <c:pt idx="2">
                  <c:v>0.75198513277780843</c:v>
                </c:pt>
                <c:pt idx="3">
                  <c:v>0.72548038938279669</c:v>
                </c:pt>
                <c:pt idx="4">
                  <c:v>0.6924438561866022</c:v>
                </c:pt>
                <c:pt idx="5">
                  <c:v>0.67927432708276436</c:v>
                </c:pt>
                <c:pt idx="6">
                  <c:v>0.65278147789425012</c:v>
                </c:pt>
                <c:pt idx="7">
                  <c:v>0.6394822649700419</c:v>
                </c:pt>
                <c:pt idx="8">
                  <c:v>0.61195121200333114</c:v>
                </c:pt>
                <c:pt idx="9">
                  <c:v>0.59242370037263459</c:v>
                </c:pt>
                <c:pt idx="10">
                  <c:v>0.55180965790865522</c:v>
                </c:pt>
                <c:pt idx="11">
                  <c:v>0.5325690062005366</c:v>
                </c:pt>
                <c:pt idx="12">
                  <c:v>0.51263497463189023</c:v>
                </c:pt>
                <c:pt idx="13">
                  <c:v>0.44857072831539585</c:v>
                </c:pt>
                <c:pt idx="14">
                  <c:v>0.42986518550980513</c:v>
                </c:pt>
                <c:pt idx="15">
                  <c:v>0.42424499353325268</c:v>
                </c:pt>
                <c:pt idx="16">
                  <c:v>0.3943730080953925</c:v>
                </c:pt>
                <c:pt idx="17">
                  <c:v>0.3546653611617962</c:v>
                </c:pt>
                <c:pt idx="18">
                  <c:v>0.33328244332492768</c:v>
                </c:pt>
                <c:pt idx="19">
                  <c:v>0.32221704066235995</c:v>
                </c:pt>
                <c:pt idx="20">
                  <c:v>0.30739622603403471</c:v>
                </c:pt>
                <c:pt idx="21">
                  <c:v>0.27360609072189823</c:v>
                </c:pt>
                <c:pt idx="22">
                  <c:v>0.25511400074319307</c:v>
                </c:pt>
                <c:pt idx="23">
                  <c:v>0.24256226905997091</c:v>
                </c:pt>
                <c:pt idx="24">
                  <c:v>0.22199358447751433</c:v>
                </c:pt>
                <c:pt idx="25">
                  <c:v>0.19186596793463659</c:v>
                </c:pt>
                <c:pt idx="26">
                  <c:v>0.18140559307885509</c:v>
                </c:pt>
                <c:pt idx="27">
                  <c:v>0.17484121907603198</c:v>
                </c:pt>
                <c:pt idx="28">
                  <c:v>0.15633258329243663</c:v>
                </c:pt>
                <c:pt idx="29">
                  <c:v>0.15322322566504629</c:v>
                </c:pt>
                <c:pt idx="30">
                  <c:v>8.8368623714114553E-2</c:v>
                </c:pt>
                <c:pt idx="31">
                  <c:v>7.3632906487372293E-2</c:v>
                </c:pt>
                <c:pt idx="32">
                  <c:v>6.9192205999759601E-2</c:v>
                </c:pt>
                <c:pt idx="33">
                  <c:v>5.6248563431031566E-2</c:v>
                </c:pt>
                <c:pt idx="34">
                  <c:v>5.1802347708409593E-2</c:v>
                </c:pt>
                <c:pt idx="35">
                  <c:v>3.7059198251175457E-2</c:v>
                </c:pt>
                <c:pt idx="36">
                  <c:v>3.4758370633908083E-2</c:v>
                </c:pt>
                <c:pt idx="37">
                  <c:v>2.5831415851990159E-2</c:v>
                </c:pt>
                <c:pt idx="38">
                  <c:v>2.0446536678257726E-2</c:v>
                </c:pt>
                <c:pt idx="39">
                  <c:v>1.3033886669540657E-2</c:v>
                </c:pt>
                <c:pt idx="40">
                  <c:v>5.9200957838815241E-3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63-4E35-AC30-8CEB5BC8A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97648"/>
        <c:axId val="2136340272"/>
      </c:scatterChart>
      <c:valAx>
        <c:axId val="14369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340272"/>
        <c:crosses val="autoZero"/>
        <c:crossBetween val="midCat"/>
      </c:valAx>
      <c:valAx>
        <c:axId val="213634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97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35199</xdr:colOff>
      <xdr:row>7</xdr:row>
      <xdr:rowOff>74544</xdr:rowOff>
    </xdr:from>
    <xdr:to>
      <xdr:col>12</xdr:col>
      <xdr:colOff>82825</xdr:colOff>
      <xdr:row>46</xdr:row>
      <xdr:rowOff>94949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276FC0-7700-3DBB-2029-B1FD98AFE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99" y="1408044"/>
          <a:ext cx="7402583" cy="7449905"/>
        </a:xfrm>
        <a:prstGeom prst="rect">
          <a:avLst/>
        </a:prstGeom>
      </xdr:spPr>
    </xdr:pic>
    <xdr:clientData/>
  </xdr:twoCellAnchor>
  <xdr:twoCellAnchor>
    <xdr:from>
      <xdr:col>12</xdr:col>
      <xdr:colOff>171449</xdr:colOff>
      <xdr:row>8</xdr:row>
      <xdr:rowOff>22983</xdr:rowOff>
    </xdr:from>
    <xdr:to>
      <xdr:col>19</xdr:col>
      <xdr:colOff>479563</xdr:colOff>
      <xdr:row>22</xdr:row>
      <xdr:rowOff>99183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27E6AA-138A-6BA9-05D8-8A3ADAC42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578126</xdr:colOff>
      <xdr:row>25</xdr:row>
      <xdr:rowOff>158404</xdr:rowOff>
    </xdr:from>
    <xdr:to>
      <xdr:col>20</xdr:col>
      <xdr:colOff>270013</xdr:colOff>
      <xdr:row>40</xdr:row>
      <xdr:rowOff>44104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4FAEB9-4AC2-557D-4CA9-728372C0F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28</xdr:col>
      <xdr:colOff>0</xdr:colOff>
      <xdr:row>11</xdr:row>
      <xdr:rowOff>0</xdr:rowOff>
    </xdr:from>
    <xdr:to>
      <xdr:col>28</xdr:col>
      <xdr:colOff>304800</xdr:colOff>
      <xdr:row>12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69399B39-EB5C-55F1-2FE6-3AD805945673}"/>
            </a:ext>
          </a:extLst>
        </xdr:cNvPr>
        <xdr:cNvSpPr>
          <a:spLocks noChangeAspect="1" noChangeArrowheads="1"/>
        </xdr:cNvSpPr>
      </xdr:nvSpPr>
      <xdr:spPr bwMode="auto">
        <a:xfrm>
          <a:off x="1725930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304800</xdr:colOff>
      <xdr:row>7</xdr:row>
      <xdr:rowOff>114300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54B0C247-56B3-8060-5003-1BE31FE7FEE7}"/>
            </a:ext>
          </a:extLst>
        </xdr:cNvPr>
        <xdr:cNvSpPr>
          <a:spLocks noChangeAspect="1" noChangeArrowheads="1"/>
        </xdr:cNvSpPr>
      </xdr:nvSpPr>
      <xdr:spPr bwMode="auto">
        <a:xfrm>
          <a:off x="184785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13</xdr:row>
      <xdr:rowOff>0</xdr:rowOff>
    </xdr:from>
    <xdr:to>
      <xdr:col>28</xdr:col>
      <xdr:colOff>304800</xdr:colOff>
      <xdr:row>14</xdr:row>
      <xdr:rowOff>114300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B23B1981-06EE-5324-4B07-C6131E1B463F}"/>
            </a:ext>
          </a:extLst>
        </xdr:cNvPr>
        <xdr:cNvSpPr>
          <a:spLocks noChangeAspect="1" noChangeArrowheads="1"/>
        </xdr:cNvSpPr>
      </xdr:nvSpPr>
      <xdr:spPr bwMode="auto">
        <a:xfrm>
          <a:off x="1725930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31</xdr:col>
      <xdr:colOff>123825</xdr:colOff>
      <xdr:row>4</xdr:row>
      <xdr:rowOff>180975</xdr:rowOff>
    </xdr:from>
    <xdr:to>
      <xdr:col>36</xdr:col>
      <xdr:colOff>352882</xdr:colOff>
      <xdr:row>25</xdr:row>
      <xdr:rowOff>152954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7BDB66F-3E7D-A22D-D664-FFFAF55B9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211925" y="942975"/>
          <a:ext cx="3277057" cy="3972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A502C-680F-4980-AA29-0F3713385E52}">
  <dimension ref="B1:AH46"/>
  <sheetViews>
    <sheetView tabSelected="1" zoomScale="115" zoomScaleNormal="115" workbookViewId="0">
      <selection activeCell="K6" sqref="K6"/>
    </sheetView>
  </sheetViews>
  <sheetFormatPr defaultRowHeight="15" x14ac:dyDescent="0.25"/>
  <cols>
    <col min="27" max="27" width="12" bestFit="1" customWidth="1"/>
  </cols>
  <sheetData>
    <row r="1" spans="2:34" x14ac:dyDescent="0.25">
      <c r="B1" s="1" t="s">
        <v>0</v>
      </c>
    </row>
    <row r="2" spans="2:34" x14ac:dyDescent="0.25">
      <c r="C2" t="s">
        <v>4</v>
      </c>
      <c r="AC2" s="3" t="s">
        <v>18</v>
      </c>
      <c r="AD2" s="3"/>
      <c r="AE2" s="3"/>
      <c r="AH2" s="4" t="s">
        <v>19</v>
      </c>
    </row>
    <row r="3" spans="2:34" x14ac:dyDescent="0.25">
      <c r="S3" t="s">
        <v>5</v>
      </c>
      <c r="AA3" t="s">
        <v>15</v>
      </c>
      <c r="AC3" s="3" t="s">
        <v>12</v>
      </c>
      <c r="AD3" s="3" t="s">
        <v>14</v>
      </c>
      <c r="AE3" s="3" t="s">
        <v>16</v>
      </c>
      <c r="AH3" s="4" t="s">
        <v>17</v>
      </c>
    </row>
    <row r="4" spans="2:34" x14ac:dyDescent="0.25">
      <c r="C4" t="s">
        <v>22</v>
      </c>
      <c r="N4" t="s">
        <v>1</v>
      </c>
      <c r="S4" t="s">
        <v>6</v>
      </c>
      <c r="T4">
        <v>2.87</v>
      </c>
      <c r="U4" t="s">
        <v>8</v>
      </c>
      <c r="V4" t="s">
        <v>9</v>
      </c>
      <c r="Z4" t="s">
        <v>11</v>
      </c>
      <c r="AA4">
        <f>(SUM(AA6:AA46)/COUNT(AA6:AA46))^0.5</f>
        <v>0.15315477025171378</v>
      </c>
      <c r="AC4" s="3"/>
      <c r="AD4" s="3">
        <v>0.161</v>
      </c>
      <c r="AE4" s="3">
        <v>1.57</v>
      </c>
      <c r="AH4" s="4">
        <v>0.153</v>
      </c>
    </row>
    <row r="5" spans="2:34" x14ac:dyDescent="0.25">
      <c r="C5" t="s">
        <v>21</v>
      </c>
      <c r="N5" t="s">
        <v>2</v>
      </c>
      <c r="O5" t="s">
        <v>3</v>
      </c>
      <c r="S5" t="s">
        <v>7</v>
      </c>
      <c r="T5">
        <v>-0.5</v>
      </c>
    </row>
    <row r="6" spans="2:34" x14ac:dyDescent="0.25">
      <c r="C6" t="s">
        <v>20</v>
      </c>
      <c r="N6" s="2">
        <v>-0.26100000000000001</v>
      </c>
      <c r="O6">
        <v>0.58199999999999996</v>
      </c>
      <c r="U6">
        <f>O6/$T$7</f>
        <v>0.7367088607594936</v>
      </c>
      <c r="V6">
        <f>(1+EXP($T$4*$T$5))/(1+EXP($T$4*($T$5-N6)))</f>
        <v>0.82342214831424987</v>
      </c>
      <c r="Z6" t="s">
        <v>13</v>
      </c>
      <c r="AA6">
        <f>(U6-V6)^2</f>
        <v>7.5191942385538484E-3</v>
      </c>
    </row>
    <row r="7" spans="2:34" x14ac:dyDescent="0.25">
      <c r="C7" t="s">
        <v>23</v>
      </c>
      <c r="N7" s="2">
        <v>-0.30299999999999999</v>
      </c>
      <c r="O7">
        <v>0.56999999999999995</v>
      </c>
      <c r="S7" t="s">
        <v>10</v>
      </c>
      <c r="T7">
        <f>MAX(O6:O46)</f>
        <v>0.79</v>
      </c>
      <c r="U7">
        <f t="shared" ref="U7:U46" si="0">O7/$T$7</f>
        <v>0.72151898734177211</v>
      </c>
      <c r="V7">
        <f t="shared" ref="V7:V46" si="1">(1+EXP($T$4*$T$5))/(1+EXP($T$4*($T$5-N7)))</f>
        <v>0.78954463569929112</v>
      </c>
      <c r="AA7">
        <f t="shared" ref="AA7:AA46" si="2">(U7-V7)^2</f>
        <v>4.6274888344608285E-3</v>
      </c>
    </row>
    <row r="8" spans="2:34" x14ac:dyDescent="0.25">
      <c r="D8" t="s">
        <v>24</v>
      </c>
      <c r="N8" s="2">
        <v>-0.34799999999999998</v>
      </c>
      <c r="O8">
        <v>0.34599999999999997</v>
      </c>
      <c r="U8">
        <f t="shared" si="0"/>
        <v>0.43797468354430374</v>
      </c>
      <c r="V8">
        <f t="shared" si="1"/>
        <v>0.75198513277780843</v>
      </c>
      <c r="AA8">
        <f t="shared" si="2"/>
        <v>9.8602562227827428E-2</v>
      </c>
    </row>
    <row r="9" spans="2:34" x14ac:dyDescent="0.25">
      <c r="D9" t="s">
        <v>25</v>
      </c>
      <c r="N9" s="2">
        <v>-0.379</v>
      </c>
      <c r="O9">
        <v>0.79</v>
      </c>
      <c r="U9">
        <f t="shared" si="0"/>
        <v>1</v>
      </c>
      <c r="V9">
        <f t="shared" si="1"/>
        <v>0.72548038938279669</v>
      </c>
      <c r="AA9">
        <f t="shared" si="2"/>
        <v>7.5361016613420928E-2</v>
      </c>
    </row>
    <row r="10" spans="2:34" x14ac:dyDescent="0.25">
      <c r="N10" s="2">
        <v>-0.41699999999999998</v>
      </c>
      <c r="O10">
        <v>0.67200000000000004</v>
      </c>
      <c r="U10">
        <f t="shared" si="0"/>
        <v>0.85063291139240504</v>
      </c>
      <c r="V10">
        <f t="shared" si="1"/>
        <v>0.6924438561866022</v>
      </c>
      <c r="AA10">
        <f t="shared" si="2"/>
        <v>2.5023777186904541E-2</v>
      </c>
    </row>
    <row r="11" spans="2:34" x14ac:dyDescent="0.25">
      <c r="N11" s="2">
        <v>-0.432</v>
      </c>
      <c r="O11">
        <v>0.35799999999999998</v>
      </c>
      <c r="U11">
        <f t="shared" si="0"/>
        <v>0.45316455696202529</v>
      </c>
      <c r="V11">
        <f t="shared" si="1"/>
        <v>0.67927432708276436</v>
      </c>
      <c r="AA11">
        <f t="shared" si="2"/>
        <v>5.112562814405347E-2</v>
      </c>
    </row>
    <row r="12" spans="2:34" x14ac:dyDescent="0.25">
      <c r="N12" s="2">
        <v>-0.46200000000000002</v>
      </c>
      <c r="O12">
        <v>0.76800000000000002</v>
      </c>
      <c r="U12">
        <f t="shared" si="0"/>
        <v>0.97215189873417718</v>
      </c>
      <c r="V12">
        <f t="shared" si="1"/>
        <v>0.65278147789425012</v>
      </c>
      <c r="AA12">
        <f t="shared" si="2"/>
        <v>0.10199746570747212</v>
      </c>
    </row>
    <row r="13" spans="2:34" x14ac:dyDescent="0.25">
      <c r="N13" s="2">
        <v>-0.47699999999999998</v>
      </c>
      <c r="O13">
        <v>0.41299999999999998</v>
      </c>
      <c r="U13">
        <f t="shared" si="0"/>
        <v>0.52278481012658218</v>
      </c>
      <c r="V13">
        <f t="shared" si="1"/>
        <v>0.6394822649700419</v>
      </c>
      <c r="AA13">
        <f t="shared" si="2"/>
        <v>1.3618295966941321E-2</v>
      </c>
    </row>
    <row r="14" spans="2:34" x14ac:dyDescent="0.25">
      <c r="N14" s="2">
        <v>-0.50800000000000001</v>
      </c>
      <c r="O14">
        <v>0.45100000000000001</v>
      </c>
      <c r="U14">
        <f t="shared" si="0"/>
        <v>0.57088607594936713</v>
      </c>
      <c r="V14">
        <f t="shared" si="1"/>
        <v>0.61195121200333114</v>
      </c>
      <c r="AA14">
        <f t="shared" si="2"/>
        <v>1.6863453991305742E-3</v>
      </c>
    </row>
    <row r="15" spans="2:34" x14ac:dyDescent="0.25">
      <c r="N15" s="2">
        <v>-0.53</v>
      </c>
      <c r="O15">
        <v>0.378</v>
      </c>
      <c r="U15">
        <f t="shared" si="0"/>
        <v>0.47848101265822784</v>
      </c>
      <c r="V15">
        <f t="shared" si="1"/>
        <v>0.59242370037263459</v>
      </c>
      <c r="AA15">
        <f t="shared" si="2"/>
        <v>1.2982936083582816E-2</v>
      </c>
    </row>
    <row r="16" spans="2:34" x14ac:dyDescent="0.25">
      <c r="N16" s="2">
        <v>-0.57599999999999996</v>
      </c>
      <c r="O16">
        <v>0.60199999999999998</v>
      </c>
      <c r="U16">
        <f t="shared" si="0"/>
        <v>0.76202531645569616</v>
      </c>
      <c r="V16">
        <f t="shared" si="1"/>
        <v>0.55180965790865522</v>
      </c>
      <c r="AA16">
        <f t="shared" si="2"/>
        <v>4.4190623098366105E-2</v>
      </c>
    </row>
    <row r="17" spans="14:27" x14ac:dyDescent="0.25">
      <c r="N17" s="2">
        <v>-0.59799999999999998</v>
      </c>
      <c r="O17">
        <v>0.70699999999999996</v>
      </c>
      <c r="U17">
        <f t="shared" si="0"/>
        <v>0.89493670886075938</v>
      </c>
      <c r="V17">
        <f t="shared" si="1"/>
        <v>0.5325690062005366</v>
      </c>
      <c r="AA17">
        <f t="shared" si="2"/>
        <v>0.13131035193124763</v>
      </c>
    </row>
    <row r="18" spans="14:27" x14ac:dyDescent="0.25">
      <c r="N18" s="2">
        <v>-0.621</v>
      </c>
      <c r="O18">
        <v>0.154</v>
      </c>
      <c r="U18">
        <f t="shared" si="0"/>
        <v>0.19493670886075948</v>
      </c>
      <c r="V18">
        <f t="shared" si="1"/>
        <v>0.51263497463189023</v>
      </c>
      <c r="AA18">
        <f t="shared" si="2"/>
        <v>0.10093218807398403</v>
      </c>
    </row>
    <row r="19" spans="14:27" x14ac:dyDescent="0.25">
      <c r="N19" s="2">
        <v>-0.69699999999999995</v>
      </c>
      <c r="O19">
        <v>0.55700000000000005</v>
      </c>
      <c r="U19">
        <f t="shared" si="0"/>
        <v>0.70506329113924049</v>
      </c>
      <c r="V19">
        <f t="shared" si="1"/>
        <v>0.44857072831539585</v>
      </c>
      <c r="AA19">
        <f t="shared" si="2"/>
        <v>6.5788434783943889E-2</v>
      </c>
    </row>
    <row r="20" spans="14:27" x14ac:dyDescent="0.25">
      <c r="N20" s="2">
        <v>-0.72</v>
      </c>
      <c r="O20">
        <v>0.33</v>
      </c>
      <c r="U20">
        <f t="shared" si="0"/>
        <v>0.41772151898734178</v>
      </c>
      <c r="V20">
        <f t="shared" si="1"/>
        <v>0.42986518550980513</v>
      </c>
      <c r="AA20">
        <f t="shared" si="2"/>
        <v>1.4746863660879705E-4</v>
      </c>
    </row>
    <row r="21" spans="14:27" x14ac:dyDescent="0.25">
      <c r="N21" s="2">
        <v>-0.72699999999999998</v>
      </c>
      <c r="O21">
        <v>0.154</v>
      </c>
      <c r="U21">
        <f t="shared" si="0"/>
        <v>0.19493670886075948</v>
      </c>
      <c r="V21">
        <f t="shared" si="1"/>
        <v>0.42424499353325268</v>
      </c>
      <c r="AA21">
        <f t="shared" si="2"/>
        <v>5.2582289419441181E-2</v>
      </c>
    </row>
    <row r="22" spans="14:27" x14ac:dyDescent="0.25">
      <c r="N22" s="2">
        <v>-0.76500000000000001</v>
      </c>
      <c r="O22">
        <v>0.36199999999999999</v>
      </c>
      <c r="U22">
        <f t="shared" si="0"/>
        <v>0.45822784810126577</v>
      </c>
      <c r="V22">
        <f t="shared" si="1"/>
        <v>0.3943730080953925</v>
      </c>
      <c r="AA22">
        <f t="shared" si="2"/>
        <v>4.0774405921756738E-3</v>
      </c>
    </row>
    <row r="23" spans="14:27" x14ac:dyDescent="0.25">
      <c r="N23" s="2">
        <v>-0.81799999999999995</v>
      </c>
      <c r="O23">
        <v>0.186</v>
      </c>
      <c r="U23">
        <f t="shared" si="0"/>
        <v>0.23544303797468352</v>
      </c>
      <c r="V23">
        <f t="shared" si="1"/>
        <v>0.3546653611617962</v>
      </c>
      <c r="AA23">
        <f t="shared" si="2"/>
        <v>1.4213962346132345E-2</v>
      </c>
    </row>
    <row r="24" spans="14:27" x14ac:dyDescent="0.25">
      <c r="N24" s="2">
        <v>-0.84799999999999998</v>
      </c>
      <c r="O24">
        <v>0.157</v>
      </c>
      <c r="U24">
        <f t="shared" si="0"/>
        <v>0.19873417721518988</v>
      </c>
      <c r="V24">
        <f t="shared" si="1"/>
        <v>0.33328244332492768</v>
      </c>
      <c r="AA24">
        <f t="shared" si="2"/>
        <v>1.8103235913136818E-2</v>
      </c>
    </row>
    <row r="25" spans="14:27" x14ac:dyDescent="0.25">
      <c r="N25" s="2">
        <v>-0.86399999999999999</v>
      </c>
      <c r="O25">
        <v>0.40300000000000002</v>
      </c>
      <c r="U25">
        <f t="shared" si="0"/>
        <v>0.51012658227848107</v>
      </c>
      <c r="V25">
        <f t="shared" si="1"/>
        <v>0.32221704066235995</v>
      </c>
      <c r="AA25">
        <f t="shared" si="2"/>
        <v>3.5309995830380754E-2</v>
      </c>
    </row>
    <row r="26" spans="14:27" x14ac:dyDescent="0.25">
      <c r="N26" s="2">
        <v>-0.88600000000000001</v>
      </c>
      <c r="O26">
        <v>0.28499999999999998</v>
      </c>
      <c r="U26">
        <f t="shared" si="0"/>
        <v>0.36075949367088606</v>
      </c>
      <c r="V26">
        <f t="shared" si="1"/>
        <v>0.30739622603403471</v>
      </c>
      <c r="AA26">
        <f t="shared" si="2"/>
        <v>2.8476383328822257E-3</v>
      </c>
    </row>
    <row r="27" spans="14:27" x14ac:dyDescent="0.25">
      <c r="N27" s="2">
        <v>-0.93899999999999995</v>
      </c>
      <c r="O27">
        <v>0.109</v>
      </c>
      <c r="U27">
        <f t="shared" si="0"/>
        <v>0.13797468354430378</v>
      </c>
      <c r="V27">
        <f t="shared" si="1"/>
        <v>0.27360609072189823</v>
      </c>
      <c r="AA27">
        <f t="shared" si="2"/>
        <v>1.8395878612974419E-2</v>
      </c>
    </row>
    <row r="28" spans="14:27" x14ac:dyDescent="0.25">
      <c r="N28" s="2">
        <v>-0.97</v>
      </c>
      <c r="O28">
        <v>0.192</v>
      </c>
      <c r="U28">
        <f t="shared" si="0"/>
        <v>0.24303797468354429</v>
      </c>
      <c r="V28">
        <f t="shared" si="1"/>
        <v>0.25511400074319307</v>
      </c>
      <c r="AA28">
        <f t="shared" si="2"/>
        <v>1.4583040539331633E-4</v>
      </c>
    </row>
    <row r="29" spans="14:27" x14ac:dyDescent="0.25">
      <c r="N29" s="2">
        <v>-0.99199999999999999</v>
      </c>
      <c r="O29">
        <v>7.3999999999999996E-2</v>
      </c>
      <c r="U29">
        <f t="shared" si="0"/>
        <v>9.3670886075949353E-2</v>
      </c>
      <c r="V29">
        <f t="shared" si="1"/>
        <v>0.24256226905997091</v>
      </c>
      <c r="AA29">
        <f t="shared" si="2"/>
        <v>2.216864392689458E-2</v>
      </c>
    </row>
    <row r="30" spans="14:27" x14ac:dyDescent="0.25">
      <c r="N30" s="2">
        <v>-1.03</v>
      </c>
      <c r="O30">
        <v>0.14099999999999999</v>
      </c>
      <c r="U30">
        <f t="shared" si="0"/>
        <v>0.17848101265822783</v>
      </c>
      <c r="V30">
        <f t="shared" si="1"/>
        <v>0.22199358447751433</v>
      </c>
      <c r="AA30">
        <f t="shared" si="2"/>
        <v>1.8933439063285656E-3</v>
      </c>
    </row>
    <row r="31" spans="14:27" x14ac:dyDescent="0.25">
      <c r="N31" s="2">
        <v>-1.091</v>
      </c>
      <c r="O31">
        <v>0.20799999999999999</v>
      </c>
      <c r="U31">
        <f t="shared" si="0"/>
        <v>0.26329113924050629</v>
      </c>
      <c r="V31">
        <f t="shared" si="1"/>
        <v>0.19186596793463659</v>
      </c>
      <c r="AA31">
        <f t="shared" si="2"/>
        <v>5.1015550960728327E-3</v>
      </c>
    </row>
    <row r="32" spans="14:27" x14ac:dyDescent="0.25">
      <c r="N32" s="2">
        <v>-1.1140000000000001</v>
      </c>
      <c r="O32">
        <v>0.157</v>
      </c>
      <c r="U32">
        <f t="shared" si="0"/>
        <v>0.19873417721518988</v>
      </c>
      <c r="V32">
        <f t="shared" si="1"/>
        <v>0.18140559307885509</v>
      </c>
      <c r="AA32">
        <f t="shared" si="2"/>
        <v>3.0027982817003356E-4</v>
      </c>
    </row>
    <row r="33" spans="14:27" x14ac:dyDescent="0.25">
      <c r="N33" s="2">
        <v>-1.129</v>
      </c>
      <c r="O33">
        <v>0.109</v>
      </c>
      <c r="U33">
        <f t="shared" si="0"/>
        <v>0.13797468354430378</v>
      </c>
      <c r="V33">
        <f t="shared" si="1"/>
        <v>0.17484121907603198</v>
      </c>
      <c r="AA33">
        <f t="shared" si="2"/>
        <v>1.3591414421121775E-3</v>
      </c>
    </row>
    <row r="34" spans="14:27" x14ac:dyDescent="0.25">
      <c r="N34" s="2">
        <v>-1.1739999999999999</v>
      </c>
      <c r="O34">
        <v>0.192</v>
      </c>
      <c r="U34">
        <f t="shared" si="0"/>
        <v>0.24303797468354429</v>
      </c>
      <c r="V34">
        <f t="shared" si="1"/>
        <v>0.15633258329243663</v>
      </c>
      <c r="AA34">
        <f t="shared" si="2"/>
        <v>7.5178248962851678E-3</v>
      </c>
    </row>
    <row r="35" spans="14:27" x14ac:dyDescent="0.25">
      <c r="N35" s="2">
        <v>-1.1819999999999999</v>
      </c>
      <c r="O35">
        <v>3.5000000000000003E-2</v>
      </c>
      <c r="U35">
        <f t="shared" si="0"/>
        <v>4.4303797468354431E-2</v>
      </c>
      <c r="V35">
        <f t="shared" si="1"/>
        <v>0.15322322566504629</v>
      </c>
      <c r="AA35">
        <f t="shared" si="2"/>
        <v>1.1863441838694313E-2</v>
      </c>
    </row>
    <row r="36" spans="14:27" x14ac:dyDescent="0.25">
      <c r="N36" s="2">
        <v>-1.3939999999999999</v>
      </c>
      <c r="O36">
        <v>5.8000000000000003E-2</v>
      </c>
      <c r="U36">
        <f t="shared" si="0"/>
        <v>7.3417721518987344E-2</v>
      </c>
      <c r="V36">
        <f t="shared" si="1"/>
        <v>8.8368623714114553E-2</v>
      </c>
      <c r="AA36">
        <f t="shared" si="2"/>
        <v>2.2352947644825957E-4</v>
      </c>
    </row>
    <row r="37" spans="14:27" x14ac:dyDescent="0.25">
      <c r="N37" s="2">
        <v>-1.462</v>
      </c>
      <c r="O37">
        <v>0.08</v>
      </c>
      <c r="U37">
        <f t="shared" si="0"/>
        <v>0.10126582278481013</v>
      </c>
      <c r="V37">
        <f t="shared" si="1"/>
        <v>7.3632906487372293E-2</v>
      </c>
      <c r="AA37">
        <f t="shared" si="2"/>
        <v>7.6357806310120536E-4</v>
      </c>
    </row>
    <row r="38" spans="14:27" x14ac:dyDescent="0.25">
      <c r="N38" s="2">
        <v>-1.4850000000000001</v>
      </c>
      <c r="O38">
        <v>4.4999999999999998E-2</v>
      </c>
      <c r="U38">
        <f t="shared" si="0"/>
        <v>5.6962025316455694E-2</v>
      </c>
      <c r="V38">
        <f t="shared" si="1"/>
        <v>6.9192205999759601E-2</v>
      </c>
      <c r="AA38">
        <f t="shared" si="2"/>
        <v>1.4957731954626003E-4</v>
      </c>
    </row>
    <row r="39" spans="14:27" x14ac:dyDescent="0.25">
      <c r="N39" s="2">
        <v>-1.5609999999999999</v>
      </c>
      <c r="O39">
        <v>4.2000000000000003E-2</v>
      </c>
      <c r="U39">
        <f t="shared" si="0"/>
        <v>5.3164556962025315E-2</v>
      </c>
      <c r="V39">
        <f t="shared" si="1"/>
        <v>5.6248563431031566E-2</v>
      </c>
      <c r="AA39">
        <f t="shared" si="2"/>
        <v>9.5110959008724018E-6</v>
      </c>
    </row>
    <row r="40" spans="14:27" x14ac:dyDescent="0.25">
      <c r="N40" s="2">
        <v>-1.591</v>
      </c>
      <c r="O40">
        <v>0.122</v>
      </c>
      <c r="U40">
        <f t="shared" si="0"/>
        <v>0.15443037974683543</v>
      </c>
      <c r="V40">
        <f t="shared" si="1"/>
        <v>5.1802347708409593E-2</v>
      </c>
      <c r="AA40">
        <f t="shared" si="2"/>
        <v>1.053251296008016E-2</v>
      </c>
    </row>
    <row r="41" spans="14:27" x14ac:dyDescent="0.25">
      <c r="N41" s="2">
        <v>-1.712</v>
      </c>
      <c r="O41">
        <v>6.4000000000000001E-2</v>
      </c>
      <c r="U41">
        <f t="shared" si="0"/>
        <v>8.1012658227848103E-2</v>
      </c>
      <c r="V41">
        <f t="shared" si="1"/>
        <v>3.7059198251175457E-2</v>
      </c>
      <c r="AA41">
        <f t="shared" si="2"/>
        <v>1.9319066439209642E-3</v>
      </c>
    </row>
    <row r="42" spans="14:27" x14ac:dyDescent="0.25">
      <c r="N42" s="2">
        <v>-1.7350000000000001</v>
      </c>
      <c r="O42">
        <v>0.08</v>
      </c>
      <c r="U42">
        <f t="shared" si="0"/>
        <v>0.10126582278481013</v>
      </c>
      <c r="V42">
        <f t="shared" si="1"/>
        <v>3.4758370633908083E-2</v>
      </c>
      <c r="AA42">
        <f t="shared" si="2"/>
        <v>4.4232411916045235E-3</v>
      </c>
    </row>
    <row r="43" spans="14:27" x14ac:dyDescent="0.25">
      <c r="N43" s="2">
        <v>-1.841</v>
      </c>
      <c r="O43">
        <v>4.4999999999999998E-2</v>
      </c>
      <c r="U43">
        <f t="shared" si="0"/>
        <v>5.6962025316455694E-2</v>
      </c>
      <c r="V43">
        <f t="shared" si="1"/>
        <v>2.5831415851990159E-2</v>
      </c>
      <c r="AA43">
        <f t="shared" si="2"/>
        <v>9.6911484562907119E-4</v>
      </c>
    </row>
    <row r="44" spans="14:27" x14ac:dyDescent="0.25">
      <c r="N44" s="2">
        <v>-1.9239999999999999</v>
      </c>
      <c r="O44">
        <v>7.3999999999999996E-2</v>
      </c>
      <c r="U44">
        <f t="shared" si="0"/>
        <v>9.3670886075949353E-2</v>
      </c>
      <c r="V44">
        <f t="shared" si="1"/>
        <v>2.0446536678257726E-2</v>
      </c>
      <c r="AA44">
        <f t="shared" si="2"/>
        <v>5.3618053447152215E-3</v>
      </c>
    </row>
    <row r="45" spans="14:27" x14ac:dyDescent="0.25">
      <c r="N45" s="2">
        <v>-2.0830000000000002</v>
      </c>
      <c r="O45">
        <v>5.0999999999999997E-2</v>
      </c>
      <c r="U45">
        <f t="shared" si="0"/>
        <v>6.4556962025316453E-2</v>
      </c>
      <c r="V45">
        <f t="shared" si="1"/>
        <v>1.3033886669540657E-2</v>
      </c>
      <c r="AA45">
        <f t="shared" si="2"/>
        <v>2.6546272941169514E-3</v>
      </c>
    </row>
    <row r="46" spans="14:27" x14ac:dyDescent="0.25">
      <c r="N46" s="2">
        <v>-2.36</v>
      </c>
      <c r="O46">
        <v>5.3999999999999999E-2</v>
      </c>
      <c r="U46">
        <f t="shared" si="0"/>
        <v>6.8354430379746825E-2</v>
      </c>
      <c r="V46">
        <f t="shared" si="1"/>
        <v>5.9200957838815241E-3</v>
      </c>
      <c r="AA46">
        <f t="shared" si="2"/>
        <v>3.8980461364284632E-3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 vs psi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Fleisher, David - REE-ARS</dc:creator>
  <cp:lastModifiedBy>Fleisher, David - REE-ARS</cp:lastModifiedBy>
  <dcterms:created xsi:type="dcterms:W3CDTF">2024-05-20T12:52:25Z</dcterms:created>
  <dcterms:modified xsi:type="dcterms:W3CDTF">2024-05-23T21:01:40Z</dcterms:modified>
</cp:coreProperties>
</file>