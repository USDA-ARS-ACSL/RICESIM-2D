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SIM-2D\RICESIM-2D\improvements\pnet vs N content\"/>
    </mc:Choice>
  </mc:AlternateContent>
  <xr:revisionPtr revIDLastSave="0" documentId="8_{4CB96377-5598-46F9-A676-76F709A8090A}" xr6:coauthVersionLast="47" xr6:coauthVersionMax="47" xr10:uidLastSave="{00000000-0000-0000-0000-000000000000}"/>
  <bookViews>
    <workbookView xWindow="1575" yWindow="30" windowWidth="21600" windowHeight="14400" xr2:uid="{9962B1A8-211A-4D65-8A6E-44568C5C4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 a="1"/>
  <c r="H34" i="1" s="1"/>
  <c r="H31" i="1" a="1"/>
  <c r="H31" i="1" s="1"/>
  <c r="G15" i="1"/>
  <c r="G16" i="1"/>
  <c r="G17" i="1"/>
  <c r="G18" i="1"/>
  <c r="G19" i="1"/>
  <c r="G20" i="1"/>
  <c r="G21" i="1"/>
  <c r="G22" i="1"/>
  <c r="G23" i="1"/>
  <c r="G24" i="1"/>
  <c r="G25" i="1"/>
  <c r="G26" i="1"/>
  <c r="G14" i="1"/>
  <c r="E15" i="1"/>
  <c r="E16" i="1"/>
  <c r="E17" i="1"/>
  <c r="E18" i="1"/>
  <c r="E19" i="1"/>
  <c r="E20" i="1"/>
  <c r="E21" i="1"/>
  <c r="E22" i="1"/>
  <c r="E23" i="1"/>
  <c r="E24" i="1"/>
  <c r="E25" i="1"/>
  <c r="E26" i="1"/>
  <c r="E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<sst xmlns="http://schemas.openxmlformats.org/spreadsheetml/2006/main" count="19" uniqueCount="18">
  <si>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Relationship between maximum CO2 assimilation rate and single leaf nitrogen concentration</t>
  </si>
  <si>
    <t>data from Keulen and Seligman (1987) and Peng et al (unpublished IRRI)</t>
  </si>
  <si>
    <t>Background is that ORYZA uses this relationship to link relationship of leaf N at 3 different depths in the canopy versus max CO2 assimilation rate in leaf response curve</t>
  </si>
  <si>
    <t>We use this as a way to link Vcmax (carboxylation rate related to rubisco protein content) to leaf N content in the overall canopy</t>
  </si>
  <si>
    <t>Eventually would like to simulate N distribution in canopy via sunlit / shaded leaves as well, for now we use one average specific leaf N value</t>
  </si>
  <si>
    <t>x,</t>
  </si>
  <si>
    <t>y</t>
  </si>
  <si>
    <t>leaf N</t>
  </si>
  <si>
    <t>Pmax</t>
  </si>
  <si>
    <t>g m-2</t>
  </si>
  <si>
    <t>kg CO2 ha-1 h-1</t>
  </si>
  <si>
    <t>using online freeware version of PlotDigitizer</t>
  </si>
  <si>
    <t>umol CO2 m-2 s-1</t>
  </si>
  <si>
    <t>prior to 0.5</t>
  </si>
  <si>
    <t>after 0.5</t>
  </si>
  <si>
    <t>normalized Pmax</t>
  </si>
  <si>
    <t>y =</t>
  </si>
  <si>
    <t xml:space="preserve">y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</si>
</sst>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Sheet1!$B$14:$B$26</c:f>
              <c:numCache>
                <c:formatCode>General</c:formatCode>
                <c:ptCount val="13"/>
                <c:pt idx="0">
                  <c:v>0.238461759217379</c:v>
                </c:pt>
                <c:pt idx="1">
                  <c:v>0.28076933166683798</c:v>
                </c:pt>
                <c:pt idx="2">
                  <c:v>0.43076932286369102</c:v>
                </c:pt>
                <c:pt idx="3">
                  <c:v>0.36153855769591298</c:v>
                </c:pt>
                <c:pt idx="4">
                  <c:v>0.50000008803147</c:v>
                </c:pt>
                <c:pt idx="5">
                  <c:v>0.61153842564870797</c:v>
                </c:pt>
                <c:pt idx="6">
                  <c:v>0.76153841684556101</c:v>
                </c:pt>
                <c:pt idx="7">
                  <c:v>1.0038460949327801</c:v>
                </c:pt>
                <c:pt idx="8">
                  <c:v>1.2692306947426</c:v>
                </c:pt>
                <c:pt idx="9">
                  <c:v>1.54230783654387</c:v>
                </c:pt>
                <c:pt idx="10">
                  <c:v>1.7538460509170499</c:v>
                </c:pt>
                <c:pt idx="11">
                  <c:v>1.99230781013442</c:v>
                </c:pt>
                <c:pt idx="12">
                  <c:v>0.88846148631982103</c:v>
                </c:pt>
              </c:numCache>
            </c:numRef>
          </c:xVal>
          <c:yVal>
            <c:numRef>
              <c:f>Sheet1!$G$14:$G$26</c:f>
              <c:numCache>
                <c:formatCode>General</c:formatCode>
                <c:ptCount val="13"/>
                <c:pt idx="0">
                  <c:v>6.0390816334080694E-2</c:v>
                </c:pt>
                <c:pt idx="1">
                  <c:v>0.11722912648530288</c:v>
                </c:pt>
                <c:pt idx="2">
                  <c:v>0.30905860618852443</c:v>
                </c:pt>
                <c:pt idx="3">
                  <c:v>0.21136769455341667</c:v>
                </c:pt>
                <c:pt idx="4">
                  <c:v>0.3818827876229493</c:v>
                </c:pt>
                <c:pt idx="5">
                  <c:v>0.42984015754875343</c:v>
                </c:pt>
                <c:pt idx="6">
                  <c:v>0.48667854900790963</c:v>
                </c:pt>
                <c:pt idx="7">
                  <c:v>0.60035525061828621</c:v>
                </c:pt>
                <c:pt idx="8">
                  <c:v>0.7104796086616687</c:v>
                </c:pt>
                <c:pt idx="9">
                  <c:v>0.81705154183012696</c:v>
                </c:pt>
                <c:pt idx="10">
                  <c:v>0.89875666348996608</c:v>
                </c:pt>
                <c:pt idx="11">
                  <c:v>1</c:v>
                </c:pt>
                <c:pt idx="12">
                  <c:v>0.53996451559213787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5-4982-8EE4-9BCB2161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3615"/>
        <c:axId val="1153166975"/>
      </c:scatterChart>
      <c:valAx>
        <c:axId val="115316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66975"/>
        <c:crosses val="autoZero"/>
        <c:crossBetween val="midCat"/>
      </c:valAx>
      <c:valAx>
        <c:axId val="11531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6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423862</xdr:colOff>
      <xdr:row>12</xdr:row>
      <xdr:rowOff>42862</xdr:rowOff>
    </xdr:from>
    <xdr:to>
      <xdr:col>16</xdr:col>
      <xdr:colOff>119062</xdr:colOff>
      <xdr:row>26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1F2A5-7E27-5E18-A9DA-75C4608F5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430362</xdr:colOff>
      <xdr:row>26</xdr:row>
      <xdr:rowOff>171450</xdr:rowOff>
    </xdr:from>
    <xdr:to>
      <xdr:col>12</xdr:col>
      <xdr:colOff>438847</xdr:colOff>
      <xdr:row>37</xdr:row>
      <xdr:rowOff>134130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1F0A95-4B3A-1951-E07F-AE34B4CB1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0587" y="5124450"/>
          <a:ext cx="1837285" cy="2058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C6DA-2D4C-40FA-9EAC-8E8E38A7ABD1}">
  <dimension ref="A1:I34"/>
  <sheetViews>
    <sheetView tabSelected="1" workbookViewId="0">
      <selection activeCell="G43" sqref="G43"/>
    </sheetView>
  </sheetViews>
  <sheetFormatPr defaultRowHeight="15" x14ac:dyDescent="0.25"/>
  <cols>
    <col min="5" max="5" width="11" bestFit="1" customWidth="1"/>
  </cols>
  <sheetData>
    <row r="1" spans="1:7" x14ac:dyDescent="0.25">
      <c r="A1" t="s">
        <v>0</v>
      </c>
    </row>
    <row r="2" spans="1:7" x14ac:dyDescent="0.25">
      <c r="B2" t="s">
        <v>1</v>
      </c>
    </row>
    <row r="4" spans="1:7" x14ac:dyDescent="0.25">
      <c r="A4" t="s">
        <v>2</v>
      </c>
    </row>
    <row r="6" spans="1:7" x14ac:dyDescent="0.25">
      <c r="A6" t="s">
        <v>3</v>
      </c>
    </row>
    <row r="7" spans="1:7" x14ac:dyDescent="0.25">
      <c r="A7" t="s">
        <v>4</v>
      </c>
    </row>
    <row r="9" spans="1:7" x14ac:dyDescent="0.25">
      <c r="A9" t="s">
        <v>11</v>
      </c>
    </row>
    <row r="11" spans="1:7" x14ac:dyDescent="0.25">
      <c r="B11" t="s">
        <v>7</v>
      </c>
      <c r="C11" t="s">
        <v>8</v>
      </c>
      <c r="E11" t="s">
        <v>8</v>
      </c>
      <c r="G11" t="s">
        <v>15</v>
      </c>
    </row>
    <row r="12" spans="1:7" x14ac:dyDescent="0.25">
      <c r="B12" t="s">
        <v>9</v>
      </c>
      <c r="C12" t="s">
        <v>10</v>
      </c>
      <c r="E12" t="s">
        <v>12</v>
      </c>
    </row>
    <row r="13" spans="1:7" x14ac:dyDescent="0.25">
      <c r="B13" t="s">
        <v>5</v>
      </c>
      <c r="C13" t="s">
        <v>6</v>
      </c>
    </row>
    <row r="14" spans="1:7" x14ac:dyDescent="0.25">
      <c r="B14">
        <v>0.238461759217379</v>
      </c>
      <c r="C14">
        <v>3.2432460756227002</v>
      </c>
      <c r="E14">
        <f>C14/3600/10000/44*1000000000</f>
        <v>2.0475038356203914</v>
      </c>
      <c r="G14">
        <f>E14/MAX($E$14:$E$26)</f>
        <v>6.0390816334080694E-2</v>
      </c>
    </row>
    <row r="15" spans="1:7" x14ac:dyDescent="0.25">
      <c r="B15">
        <v>0.28076933166683798</v>
      </c>
      <c r="C15">
        <v>6.2957073194517097</v>
      </c>
      <c r="E15">
        <f t="shared" ref="E15:E26" si="0">C15/3600/10000/44*1000000000</f>
        <v>3.9745627016740595</v>
      </c>
      <c r="G15">
        <f t="shared" ref="G15:G26" si="1">E15/MAX($E$14:$E$26)</f>
        <v>0.11722912648530288</v>
      </c>
    </row>
    <row r="16" spans="1:7" x14ac:dyDescent="0.25">
      <c r="B16">
        <v>0.43076932286369102</v>
      </c>
      <c r="C16">
        <v>16.597773842190801</v>
      </c>
      <c r="E16">
        <f t="shared" si="0"/>
        <v>10.478392577140657</v>
      </c>
      <c r="G16">
        <f t="shared" si="1"/>
        <v>0.30905860618852443</v>
      </c>
    </row>
    <row r="17" spans="2:9" x14ac:dyDescent="0.25">
      <c r="B17">
        <v>0.36153855769591298</v>
      </c>
      <c r="C17">
        <v>11.3513525315094</v>
      </c>
      <c r="E17">
        <f t="shared" si="0"/>
        <v>7.16625791130644</v>
      </c>
      <c r="G17">
        <f t="shared" si="1"/>
        <v>0.21136769455341667</v>
      </c>
    </row>
    <row r="18" spans="2:9" x14ac:dyDescent="0.25">
      <c r="B18">
        <v>0.50000008803147</v>
      </c>
      <c r="C18">
        <v>20.508744996166499</v>
      </c>
      <c r="E18">
        <f t="shared" si="0"/>
        <v>12.947440022832385</v>
      </c>
      <c r="G18">
        <f t="shared" si="1"/>
        <v>0.3818827876229493</v>
      </c>
    </row>
    <row r="19" spans="2:9" x14ac:dyDescent="0.25">
      <c r="B19">
        <v>0.61153842564870797</v>
      </c>
      <c r="C19">
        <v>23.084261626851202</v>
      </c>
      <c r="E19">
        <f t="shared" si="0"/>
        <v>14.573397491698991</v>
      </c>
      <c r="G19">
        <f t="shared" si="1"/>
        <v>0.42984015754875343</v>
      </c>
    </row>
    <row r="20" spans="2:9" x14ac:dyDescent="0.25">
      <c r="B20">
        <v>0.76153841684556101</v>
      </c>
      <c r="C20">
        <v>26.136727237265301</v>
      </c>
      <c r="E20">
        <f t="shared" si="0"/>
        <v>16.500459114435163</v>
      </c>
      <c r="G20">
        <f t="shared" si="1"/>
        <v>0.48667854900790963</v>
      </c>
    </row>
    <row r="21" spans="2:9" x14ac:dyDescent="0.25">
      <c r="B21">
        <v>1.0038460949327801</v>
      </c>
      <c r="C21">
        <v>32.241654091508302</v>
      </c>
      <c r="E21">
        <f t="shared" si="0"/>
        <v>20.354579603224938</v>
      </c>
      <c r="G21">
        <f t="shared" si="1"/>
        <v>0.60035525061828621</v>
      </c>
    </row>
    <row r="22" spans="2:9" x14ac:dyDescent="0.25">
      <c r="B22">
        <v>1.2692306947426</v>
      </c>
      <c r="C22">
        <v>38.155804847127598</v>
      </c>
      <c r="E22">
        <f t="shared" si="0"/>
        <v>24.08826063581288</v>
      </c>
      <c r="G22">
        <f t="shared" si="1"/>
        <v>0.7104796086616687</v>
      </c>
    </row>
    <row r="23" spans="2:9" x14ac:dyDescent="0.25">
      <c r="B23">
        <v>1.54230783654387</v>
      </c>
      <c r="C23">
        <v>43.879175137538297</v>
      </c>
      <c r="E23">
        <f t="shared" si="0"/>
        <v>27.701499455516604</v>
      </c>
      <c r="G23">
        <f t="shared" si="1"/>
        <v>0.81705154183012696</v>
      </c>
    </row>
    <row r="24" spans="2:9" x14ac:dyDescent="0.25">
      <c r="B24">
        <v>1.7538460509170499</v>
      </c>
      <c r="C24">
        <v>48.267090904658097</v>
      </c>
      <c r="E24">
        <f t="shared" si="0"/>
        <v>30.471648298395266</v>
      </c>
      <c r="G24">
        <f t="shared" si="1"/>
        <v>0.89875666348996608</v>
      </c>
    </row>
    <row r="25" spans="2:9" x14ac:dyDescent="0.25">
      <c r="B25">
        <v>1.99230781013442</v>
      </c>
      <c r="C25">
        <v>53.7042926805482</v>
      </c>
      <c r="E25">
        <f t="shared" si="0"/>
        <v>33.904225177113759</v>
      </c>
      <c r="G25">
        <f t="shared" si="1"/>
        <v>1</v>
      </c>
    </row>
    <row r="26" spans="2:9" x14ac:dyDescent="0.25">
      <c r="B26">
        <v>0.88846148631982103</v>
      </c>
      <c r="C26">
        <v>28.998412382470601</v>
      </c>
      <c r="E26">
        <f t="shared" si="0"/>
        <v>18.307078524286997</v>
      </c>
      <c r="G26">
        <f t="shared" si="1"/>
        <v>0.53996451559213787</v>
      </c>
    </row>
    <row r="29" spans="2:9" x14ac:dyDescent="0.25">
      <c r="B29" t="s">
        <v>13</v>
      </c>
    </row>
    <row r="30" spans="2:9" x14ac:dyDescent="0.25">
      <c r="C30" t="s">
        <v>16</v>
      </c>
      <c r="D30">
        <v>1.2390000000000001</v>
      </c>
      <c r="E30">
        <v>-0.23200000000000001</v>
      </c>
    </row>
    <row r="31" spans="2:9" x14ac:dyDescent="0.25">
      <c r="H31" cm="1">
        <f t="array" ref="H31:I31">LINEST(G14:G18,B14:B18)</f>
        <v>1.2390234899528958</v>
      </c>
      <c r="I31">
        <v>-0.23292208329455757</v>
      </c>
    </row>
    <row r="33" spans="2:9" x14ac:dyDescent="0.25">
      <c r="B33" t="s">
        <v>14</v>
      </c>
    </row>
    <row r="34" spans="2:9" x14ac:dyDescent="0.25">
      <c r="C34" t="s">
        <v>17</v>
      </c>
      <c r="D34">
        <v>0.41389999999999999</v>
      </c>
      <c r="E34">
        <v>0.17699999999999999</v>
      </c>
      <c r="H34" cm="1">
        <f t="array" ref="H34:I34">LINEST(G19:G26,B19:B26)</f>
        <v>0.41392727943082891</v>
      </c>
      <c r="I34">
        <v>0.17713585307835189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2024-08-06T12:59:35Z</dcterms:created>
  <dcterms:modified xsi:type="dcterms:W3CDTF">2024-08-06T13:32:45Z</dcterms:modified>
</cp:coreProperties>
</file>